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23122\Desktop\coway_netzero\"/>
    </mc:Choice>
  </mc:AlternateContent>
  <xr:revisionPtr revIDLastSave="0" documentId="13_ncr:1_{59CF8FCC-4548-4C03-80E2-CFEBA4B705F6}" xr6:coauthVersionLast="47" xr6:coauthVersionMax="47" xr10:uidLastSave="{00000000-0000-0000-0000-000000000000}"/>
  <bookViews>
    <workbookView xWindow="-120" yWindow="-120" windowWidth="29040" windowHeight="15720" xr2:uid="{A6B71726-8E29-4FA1-9BE1-FDA13547350E}"/>
  </bookViews>
  <sheets>
    <sheet name="넷제로 프로그램용" sheetId="1" r:id="rId1"/>
  </sheets>
  <definedNames>
    <definedName name="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LPS2" hidden="1">{#N/A,#N/A,FALSE,"단축1";#N/A,#N/A,FALSE,"단축2";#N/A,#N/A,FALSE,"단축3";#N/A,#N/A,FALSE,"장축";#N/A,#N/A,FALSE,"4WD"}</definedName>
    <definedName name="_____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_____LPS2" hidden="1">{#N/A,#N/A,FALSE,"단축1";#N/A,#N/A,FALSE,"단축2";#N/A,#N/A,FALSE,"단축3";#N/A,#N/A,FALSE,"장축";#N/A,#N/A,FALSE,"4WD"}</definedName>
    <definedName name="_________T2" hidden="1">{#N/A,#N/A,FALSE,"단축1";#N/A,#N/A,FALSE,"단축2";#N/A,#N/A,FALSE,"단축3";#N/A,#N/A,FALSE,"장축";#N/A,#N/A,FALSE,"4WD"}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____LPS2" hidden="1">{#N/A,#N/A,FALSE,"단축1";#N/A,#N/A,FALSE,"단축2";#N/A,#N/A,FALSE,"단축3";#N/A,#N/A,FALSE,"장축";#N/A,#N/A,FALSE,"4WD"}</definedName>
    <definedName name="________T2" hidden="1">{#N/A,#N/A,FALSE,"단축1";#N/A,#N/A,FALSE,"단축2";#N/A,#N/A,FALSE,"단축3";#N/A,#N/A,FALSE,"장축";#N/A,#N/A,FALSE,"4WD"}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___LPS2" hidden="1">{#N/A,#N/A,FALSE,"단축1";#N/A,#N/A,FALSE,"단축2";#N/A,#N/A,FALSE,"단축3";#N/A,#N/A,FALSE,"장축";#N/A,#N/A,FALSE,"4WD"}</definedName>
    <definedName name="_______T2" hidden="1">{#N/A,#N/A,FALSE,"단축1";#N/A,#N/A,FALSE,"단축2";#N/A,#N/A,FALSE,"단축3";#N/A,#N/A,FALSE,"장축";#N/A,#N/A,FALSE,"4WD"}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__LPS2" hidden="1">{#N/A,#N/A,FALSE,"단축1";#N/A,#N/A,FALSE,"단축2";#N/A,#N/A,FALSE,"단축3";#N/A,#N/A,FALSE,"장축";#N/A,#N/A,FALSE,"4WD"}</definedName>
    <definedName name="______T2" hidden="1">{#N/A,#N/A,FALSE,"단축1";#N/A,#N/A,FALSE,"단축2";#N/A,#N/A,FALSE,"단축3";#N/A,#N/A,FALSE,"장축";#N/A,#N/A,FALSE,"4WD"}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5">#REF!</definedName>
    <definedName name="_____DAT37">#REF!</definedName>
    <definedName name="_____DAT38">#REF!</definedName>
    <definedName name="_____DAT4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6">#REF!</definedName>
    <definedName name="_____DAT7">#REF!</definedName>
    <definedName name="_____DAT8">#REF!</definedName>
    <definedName name="_____DAT9">#REF!</definedName>
    <definedName name="_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_KTM10" hidden="1">{#N/A,#N/A,FALSE,"현장 NCR 분석";#N/A,#N/A,FALSE,"현장품질감사";#N/A,#N/A,FALSE,"현장품질감사"}</definedName>
    <definedName name="_____LPS2" hidden="1">{#N/A,#N/A,FALSE,"단축1";#N/A,#N/A,FALSE,"단축2";#N/A,#N/A,FALSE,"단축3";#N/A,#N/A,FALSE,"장축";#N/A,#N/A,FALSE,"4WD"}</definedName>
    <definedName name="_____T2" hidden="1">{#N/A,#N/A,FALSE,"단축1";#N/A,#N/A,FALSE,"단축2";#N/A,#N/A,FALSE,"단축3";#N/A,#N/A,FALSE,"장축";#N/A,#N/A,FALSE,"4WD"}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5">#REF!</definedName>
    <definedName name="____DAT37">#REF!</definedName>
    <definedName name="____DAT38">#REF!</definedName>
    <definedName name="____DAT4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6">#REF!</definedName>
    <definedName name="____DAT7">#REF!</definedName>
    <definedName name="____DAT8">#REF!</definedName>
    <definedName name="____DAT9">#REF!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ey2" hidden="1">#REF!</definedName>
    <definedName name="____LPS2" hidden="1">{#N/A,#N/A,FALSE,"단축1";#N/A,#N/A,FALSE,"단축2";#N/A,#N/A,FALSE,"단축3";#N/A,#N/A,FALSE,"장축";#N/A,#N/A,FALSE,"4WD"}</definedName>
    <definedName name="____T2" hidden="1">{#N/A,#N/A,FALSE,"단축1";#N/A,#N/A,FALSE,"단축2";#N/A,#N/A,FALSE,"단축3";#N/A,#N/A,FALSE,"장축";#N/A,#N/A,FALSE,"4WD"}</definedName>
    <definedName name="__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5">#REF!</definedName>
    <definedName name="___DAT37">#REF!</definedName>
    <definedName name="___DAT38">#REF!</definedName>
    <definedName name="___DAT4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6">#REF!</definedName>
    <definedName name="___DAT7">#REF!</definedName>
    <definedName name="___DAT8">#REF!</definedName>
    <definedName name="___DAT9">#REF!</definedName>
    <definedName name="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key2" hidden="1">#REF!</definedName>
    <definedName name="___KTM10" hidden="1">{#N/A,#N/A,FALSE,"현장 NCR 분석";#N/A,#N/A,FALSE,"현장품질감사";#N/A,#N/A,FALSE,"현장품질감사"}</definedName>
    <definedName name="___LPS2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A4" hidden="1">{#N/A,#N/A,FALSE,"KMC최종회의(7월) 자료"}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OD1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5">#REF!</definedName>
    <definedName name="__DAT37">#REF!</definedName>
    <definedName name="__DAT38">#REF!</definedName>
    <definedName name="__DAT4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key2" hidden="1">#REF!</definedName>
    <definedName name="__KTM10" hidden="1">{#N/A,#N/A,FALSE,"현장 NCR 분석";#N/A,#N/A,FALSE,"현장품질감사";#N/A,#N/A,FALSE,"현장품질감사"}</definedName>
    <definedName name="__LPS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01">#N/A</definedName>
    <definedName name="_02">#N/A</definedName>
    <definedName name="_03">#N/A</definedName>
    <definedName name="_04">#N/A</definedName>
    <definedName name="_05">#N/A</definedName>
    <definedName name="_06">#N/A</definedName>
    <definedName name="_07">#N/A</definedName>
    <definedName name="_1_누락_스타일_보완">#REF!</definedName>
    <definedName name="_10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_호조상품_추가기획">#REF!</definedName>
    <definedName name="_23234ddr" hidden="1">#REF!</definedName>
    <definedName name="_234234123" hidden="1">#REF!</definedName>
    <definedName name="_2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_시장_TREND_대응">#REF!</definedName>
    <definedName name="_38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3dddass" hidden="1">#REF!</definedName>
    <definedName name="_4_기후대응">#REF!</definedName>
    <definedName name="_44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46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49T2_" hidden="1">{#N/A,#N/A,FALSE,"단축1";#N/A,#N/A,FALSE,"단축2";#N/A,#N/A,FALSE,"단축3";#N/A,#N/A,FALSE,"장축";#N/A,#N/A,FALSE,"4WD"}</definedName>
    <definedName name="_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5__123Graph_A차트_1" hidden="1">#REF!</definedName>
    <definedName name="_5_기타">#REF!</definedName>
    <definedName name="_50__0_S" hidden="1">#REF!</definedName>
    <definedName name="_51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6__123Graph_B차트_1" hidden="1">#REF!</definedName>
    <definedName name="_61T2_" hidden="1">{#N/A,#N/A,FALSE,"단축1";#N/A,#N/A,FALSE,"단축2";#N/A,#N/A,FALSE,"단축3";#N/A,#N/A,FALSE,"장축";#N/A,#N/A,FALSE,"4WD"}</definedName>
    <definedName name="_62__0_S" hidden="1">#REF!</definedName>
    <definedName name="_64T2_" hidden="1">{#N/A,#N/A,FALSE,"단축1";#N/A,#N/A,FALSE,"단축2";#N/A,#N/A,FALSE,"단축3";#N/A,#N/A,FALSE,"장축";#N/A,#N/A,FALSE,"4WD"}</definedName>
    <definedName name="_65__0_S" hidden="1">#REF!</definedName>
    <definedName name="_6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__123Graph_C차트_1" hidden="1">#REF!</definedName>
    <definedName name="_73T2_" hidden="1">{#N/A,#N/A,FALSE,"단축1";#N/A,#N/A,FALSE,"단축2";#N/A,#N/A,FALSE,"단축3";#N/A,#N/A,FALSE,"장축";#N/A,#N/A,FALSE,"4WD"}</definedName>
    <definedName name="_74__0_S" hidden="1">#REF!</definedName>
    <definedName name="_8__123Graph_X차트_1" hidden="1">#REF!</definedName>
    <definedName name="_A1" hidden="1">{#N/A,#N/A,FALSE,"KMC최종회의(7월) 자료"}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8" hidden="1">{#N/A,#N/A,FALSE,"KMC최종회의(7월) 자료"}</definedName>
    <definedName name="_A9" hidden="1">{#N/A,#N/A,FALSE,"KMC최종회의(7월) 자료"}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e22rd" hidden="1">#REF!</definedName>
    <definedName name="_COD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5">#REF!</definedName>
    <definedName name="_DAT37">#REF!</definedName>
    <definedName name="_DAT38">#REF!</definedName>
    <definedName name="_DAT4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E1" hidden="1">{#N/A,#N/A,FALSE,"KMC최종회의(7월) 자료"}</definedName>
    <definedName name="_E2" hidden="1">{#N/A,#N/A,FALSE,"KMC최종회의(7월) 자료"}</definedName>
    <definedName name="_Fill" hidden="1">#REF!</definedName>
    <definedName name="_xlnm._FilterDatabase" hidden="1">#REF!</definedName>
    <definedName name="_Kds1" hidden="1">#REF!</definedName>
    <definedName name="_Key1" hidden="1">#REF!</definedName>
    <definedName name="_Key2" hidden="1">#REF!</definedName>
    <definedName name="_KTM10" hidden="1">{#N/A,#N/A,FALSE,"현장 NCR 분석";#N/A,#N/A,FALSE,"현장품질감사";#N/A,#N/A,FALSE,"현장품질감사"}</definedName>
    <definedName name="_LPS2" hidden="1">{#N/A,#N/A,FALSE,"단축1";#N/A,#N/A,FALSE,"단축2";#N/A,#N/A,FALSE,"단축3";#N/A,#N/A,FALSE,"장축";#N/A,#N/A,FALSE,"4WD"}</definedName>
    <definedName name="_MatInverse_In" hidden="1">#REF!</definedName>
    <definedName name="_MatInverse_Out" hidden="1">#REF!</definedName>
    <definedName name="_Order1" hidden="1">255</definedName>
    <definedName name="_Order1_1" hidden="1">255</definedName>
    <definedName name="_Order2" hidden="1">255</definedName>
    <definedName name="_Parse_Out" hidden="1">#REF!</definedName>
    <definedName name="_pt1">#REF!</definedName>
    <definedName name="_pt2">#REF!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34D600DRSX">#REF!</definedName>
    <definedName name="_red1">#REF!</definedName>
    <definedName name="_Regression_Int" hidden="1">1</definedName>
    <definedName name="_Regression_Out" hidden="1">#REF!</definedName>
    <definedName name="_S1" hidden="1">{#N/A,#N/A,FALSE,"KMC최종회의(7월) 자료"}</definedName>
    <definedName name="_S2" hidden="1">{#N/A,#N/A,FALSE,"KMC최종회의(7월) 자료"}</definedName>
    <definedName name="_S3" hidden="1">{#N/A,#N/A,FALSE,"KMC최종회의(7월) 자료"}</definedName>
    <definedName name="_S4" hidden="1">{#N/A,#N/A,FALSE,"KMC최종회의(7월) 자료"}</definedName>
    <definedName name="_S5" hidden="1">{#N/A,#N/A,FALSE,"KMC최종회의(7월) 자료"}</definedName>
    <definedName name="_S6" hidden="1">{#N/A,#N/A,FALSE,"KMC최종회의(7월) 자료"}</definedName>
    <definedName name="_S7" hidden="1">{#N/A,#N/A,FALSE,"KMC최종회의(7월) 자료"}</definedName>
    <definedName name="_S8" hidden="1">{#N/A,#N/A,FALSE,"KMC최종회의(7월) 자료"}</definedName>
    <definedName name="_sim1">#REF!</definedName>
    <definedName name="_sim10">#REF!</definedName>
    <definedName name="_sim11">#REF!</definedName>
    <definedName name="_sim12">#REF!</definedName>
    <definedName name="_sim13">#REF!</definedName>
    <definedName name="_sim2">#REF!</definedName>
    <definedName name="_sim3">#REF!</definedName>
    <definedName name="_sim4">#REF!</definedName>
    <definedName name="_sim5">#REF!</definedName>
    <definedName name="_sim6">#REF!</definedName>
    <definedName name="_sim7">#REF!</definedName>
    <definedName name="_sim8">#REF!</definedName>
    <definedName name="_sim9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8" hidden="1">{#N/A,#N/A,FALSE,"KMC최종회의(7월) 자료"}</definedName>
    <definedName name="_Z9" hidden="1">{#N/A,#N/A,FALSE,"KMC최종회의(7월) 자료"}</definedName>
    <definedName name="´cAE°eE¹" hidden="1">#REF!</definedName>
    <definedName name="￠￥cAE¡ÆeEⓒo" hidden="1">#REF!</definedName>
    <definedName name="\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#N/A</definedName>
    <definedName name="\o">#N/A</definedName>
    <definedName name="\p">#REF!</definedName>
    <definedName name="\q">#REF!</definedName>
    <definedName name="\s">#REF!</definedName>
    <definedName name="\w">#REF!</definedName>
    <definedName name="Ⅱ" hidden="1">{#N/A,#N/A,FALSE,"정공"}</definedName>
    <definedName name="a">#REF!</definedName>
    <definedName name="A0" hidden="1">{#N/A,#N/A,FALSE,"KMC최종회의(7월) 자료"}</definedName>
    <definedName name="A1_00근거" hidden="1">{#N/A,#N/A,FALSE,"단축1";#N/A,#N/A,FALSE,"단축2";#N/A,#N/A,FALSE,"단축3";#N/A,#N/A,FALSE,"장축";#N/A,#N/A,FALSE,"4WD"}</definedName>
    <definedName name="aa">#REF!</definedName>
    <definedName name="aaa" hidden="1">#REF!</definedName>
    <definedName name="aaaa" hidden="1">{"'분석(dept)'!$B$23:$K$32"}</definedName>
    <definedName name="AAAAAA" hidden="1">{#N/A,#N/A,FALSE,"KMC최종회의(7월) 자료"}</definedName>
    <definedName name="AAAAS" hidden="1">{#N/A,#N/A,FALSE,"정공"}</definedName>
    <definedName name="AAACV" hidden="1">{"'KET'!$A$1:$E$2423"}</definedName>
    <definedName name="AAAV" hidden="1">{"Wire Charts",#N/A,TRUE,"Wires"}</definedName>
    <definedName name="Aas" hidden="1">{#N/A,#N/A,FALSE,"을지 (4)";#N/A,#N/A,FALSE,"을지 (5)";#N/A,#N/A,FALSE,"을지 (6)"}</definedName>
    <definedName name="AB">#REF!</definedName>
    <definedName name="ABCDEF" hidden="1">{#N/A,#N/A,FALSE,"정공"}</definedName>
    <definedName name="ABCD관리" hidden="1">{#N/A,#N/A,FALSE,"정공"}</definedName>
    <definedName name="ABDD" hidden="1">{#N/A,#N/A,FALSE,"단축1";#N/A,#N/A,FALSE,"단축2";#N/A,#N/A,FALSE,"단축3";#N/A,#N/A,FALSE,"장축";#N/A,#N/A,FALSE,"4WD"}</definedName>
    <definedName name="abgfdrt" hidden="1">{#N/A,#N/A,FALSE,"KMC최종회의(7월) 자료"}</definedName>
    <definedName name="ABS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Documents\입고현황_류\장비입고현황2.mdb"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hidden="1">{#N/A,#N/A,FALSE,"을지 (4)";#N/A,#N/A,FALSE,"을지 (5)";#N/A,#N/A,FALSE,"을지 (6)"}</definedName>
    <definedName name="Add_InvoiceNo">#REF!</definedName>
    <definedName name="Add_Start_Col">#REF!</definedName>
    <definedName name="AddGSD">#REF!</definedName>
    <definedName name="adef" hidden="1">{#N/A,#N/A,FALSE,"정공"}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nscount" hidden="1">1</definedName>
    <definedName name="AOCNFTHSDLR" hidden="1">{#N/A,#N/A,FALSE,"정공"}</definedName>
    <definedName name="Apr_Tkt">#REF!</definedName>
    <definedName name="Apr_Vol">#REF!</definedName>
    <definedName name="AS1_">#REF!</definedName>
    <definedName name="AS2DocOpenMode" hidden="1">"AS2DocumentBrowse"</definedName>
    <definedName name="asa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sdasd">#REF!</definedName>
    <definedName name="asd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d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f" hidden="1">{#N/A,#N/A,FALSE,"정공"}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sa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g_Tkt">#REF!</definedName>
    <definedName name="Aug_Vol">#REF!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b" hidden="1">{#N/A,#N/A,FALSE,"지침";#N/A,#N/A,FALSE,"환경분석";#N/A,#N/A,FALSE,"Sheet16"}</definedName>
    <definedName name="BBB">#REF!</definedName>
    <definedName name="BBBB" hidden="1">{#N/A,#N/A,FALSE,"KMC최종회의(7월) 자료"}</definedName>
    <definedName name="Bf40cmm">#REF!</definedName>
    <definedName name="BI_월간전년">#REF!</definedName>
    <definedName name="BN" hidden="1">{#N/A,#N/A,FALSE,"을지 (4)";#N/A,#N/A,FALSE,"을지 (5)";#N/A,#N/A,FALSE,"을지 (6)"}</definedName>
    <definedName name="BPG">#REF!</definedName>
    <definedName name="BRANCH_면적_산출">#REF!</definedName>
    <definedName name="BS_전년" hidden="1">{#N/A,#N/A,FALSE,"지침";#N/A,#N/A,FALSE,"환경분석";#N/A,#N/A,FALSE,"Sheet16"}</definedName>
    <definedName name="bsNote">[0]!bsNote</definedName>
    <definedName name="BS차이내역" hidden="1">{#N/A,#N/A,FALSE,"정공"}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_2">#REF!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LYANGPNT">[0]!BULYANGPNT</definedName>
    <definedName name="Button13_Click">#REF!</definedName>
    <definedName name="Button25_Click">#REF!</definedName>
    <definedName name="Button26_Click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CANVAS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h">[0]!cash</definedName>
    <definedName name="CashFlow_Button1_Click">[0]!CashFlow_Button1_Click</definedName>
    <definedName name="cashIndex">[0]!cashIndex</definedName>
    <definedName name="category">#REF!</definedName>
    <definedName name="cause">#REF!</definedName>
    <definedName name="CC">[0]!CC</definedName>
    <definedName name="ccc" hidden="1">{#N/A,#N/A,FALSE,"정공"}</definedName>
    <definedName name="ccc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ccddd" hidden="1">{#N/A,#N/A,FALSE,"단축1";#N/A,#N/A,FALSE,"단축2";#N/A,#N/A,FALSE,"단축3";#N/A,#N/A,FALSE,"장축";#N/A,#N/A,FALSE,"4WD"}</definedName>
    <definedName name="cfd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CF요인" hidden="1">#REF!</definedName>
    <definedName name="CH4_fraction">#REF!</definedName>
    <definedName name="chang" hidden="1">{#N/A,#N/A,FALSE,"을지 (4)";#N/A,#N/A,FALSE,"을지 (5)";#N/A,#N/A,FALSE,"을지 (6)"}</definedName>
    <definedName name="chart1">#REF!</definedName>
    <definedName name="chart2">#REF!</definedName>
    <definedName name="CHOI" hidden="1">{#N/A,#N/A,FALSE,"PART-1234-8-12-9(41)";#N/A,#N/A,FALSE,"PARTS-2(3)";#N/A,#N/A,FALSE,"VAN SYSTEM";#N/A,#N/A,FALSE,"PARTS-10(26)";#N/A,#N/A,FALSE,"PART-5-6-7-11(14)";#N/A,#N/A,FALSE,"PARTS-4(3)";#N/A,#N/A,FALSE,"PCLASS"}</definedName>
    <definedName name="ci" hidden="1">{#N/A,#N/A,FALSE,"단축1";#N/A,#N/A,FALSE,"단축2";#N/A,#N/A,FALSE,"단축3";#N/A,#N/A,FALSE,"장축";#N/A,#N/A,FALSE,"4WD"}</definedName>
    <definedName name="CIRCULATION_PUMP">#REF!</definedName>
    <definedName name="code">#REF!</definedName>
    <definedName name="code2">#REF!</definedName>
    <definedName name="conv">#REF!</definedName>
    <definedName name="COST" hidden="1">#REF!</definedName>
    <definedName name="COSTT" hidden="1">#REF!</definedName>
    <definedName name="country">#REF!</definedName>
    <definedName name="cover2" hidden="1">#REF!</definedName>
    <definedName name="CPA감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xlnm.Criteria">#REF!</definedName>
    <definedName name="Criteria_MI">#REF!</definedName>
    <definedName name="Currency">#REF!</definedName>
    <definedName name="CU함량">#REF!</definedName>
    <definedName name="cvc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j" hidden="1">{#N/A,#N/A,FALSE,"KMC최종회의(7월) 자료"}</definedName>
    <definedName name="d" hidden="1">#REF!</definedName>
    <definedName name="D821_">#REF!</definedName>
    <definedName name="DAMPER">#REF!</definedName>
    <definedName name="DAMPER_견적가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#N/A</definedName>
    <definedName name="Database_MI">#REF!</definedName>
    <definedName name="datecode1">#REF!</definedName>
    <definedName name="DATT">#REF!</definedName>
    <definedName name="DB_Name">#REF!</definedName>
    <definedName name="dd">#REF!</definedName>
    <definedName name="DDD">#REF!</definedName>
    <definedName name="DDDDD" hidden="1">{#N/A,#N/A,FALSE,"단축1";#N/A,#N/A,FALSE,"단축2";#N/A,#N/A,FALSE,"단축3";#N/A,#N/A,FALSE,"장축";#N/A,#N/A,FALSE,"4WD"}</definedName>
    <definedName name="dddfg" hidden="1">{#N/A,#N/A,FALSE,"정공"}</definedName>
    <definedName name="DDS" hidden="1">{#N/A,#N/A,FALSE,"을지 (4)";#N/A,#N/A,FALSE,"을지 (5)";#N/A,#N/A,FALSE,"을지 (6)"}</definedName>
    <definedName name="ddt">[0]!ddt</definedName>
    <definedName name="Dec_Tkt">#REF!</definedName>
    <definedName name="Dec_Vol">#REF!</definedName>
    <definedName name="Degradation">#REF!</definedName>
    <definedName name="DEPT" hidden="1">{"'분석(dept)'!$B$23:$K$32"}</definedName>
    <definedName name="DF">#REF!</definedName>
    <definedName name="DFDF" hidden="1">{#N/A,#N/A,FALSE,"Aging Summary";#N/A,#N/A,FALSE,"Ratio Analysis";#N/A,#N/A,FALSE,"Test 120 Day Accts";#N/A,#N/A,FALSE,"Tickmarks"}</definedName>
    <definedName name="DFF" hidden="1">{#N/A,#N/A,FALSE,"단축1";#N/A,#N/A,FALSE,"단축2";#N/A,#N/A,FALSE,"단축3";#N/A,#N/A,FALSE,"장축";#N/A,#N/A,FALSE,"4WD"}</definedName>
    <definedName name="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LDL" hidden="1">{#N/A,#N/A,FALSE,"단축1";#N/A,#N/A,FALSE,"단축2";#N/A,#N/A,FALSE,"단축3";#N/A,#N/A,FALSE,"장축";#N/A,#N/A,FALSE,"4WD"}</definedName>
    <definedName name="DLEHD" hidden="1">{#N/A,#N/A,FALSE,"정공"}</definedName>
    <definedName name="DLRHD" hidden="1">{#N/A,#N/A,FALSE,"KMC최종회의(7월) 자료"}</definedName>
    <definedName name="DNFL" hidden="1">{#N/A,#N/A,FALSE,"PART-1234-8-12-9(41)";#N/A,#N/A,FALSE,"PARTS-2(3)";#N/A,#N/A,FALSE,"VAN SYSTEM";#N/A,#N/A,FALSE,"PARTS-10(26)";#N/A,#N/A,FALSE,"PART-5-6-7-11(14)";#N/A,#N/A,FALSE,"PARTS-4(3)";#N/A,#N/A,FALSE,"PCLASS"}</definedName>
    <definedName name="DOC_Indu" hidden="1">#REF!</definedName>
    <definedName name="DOC_MSW" hidden="1">#REF!</definedName>
    <definedName name="DOC_table">#REF!</definedName>
    <definedName name="DOCF">#REF!</definedName>
    <definedName name="DRAIN_POT">#REF!</definedName>
    <definedName name="DRIVEABILITY" hidden="1">{#N/A,#N/A,FALSE,"단축1";#N/A,#N/A,FALSE,"단축2";#N/A,#N/A,FALSE,"단축3";#N/A,#N/A,FALSE,"장축";#N/A,#N/A,FALSE,"4WD"}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a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">#REF!</definedName>
    <definedName name="dsf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sdf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dsf">#N/A</definedName>
    <definedName name="e" hidden="1">#REF!</definedName>
    <definedName name="ECAsp1">#REF!</definedName>
    <definedName name="ECAsp2">#REF!</definedName>
    <definedName name="ECAsp3">#REF!</definedName>
    <definedName name="ECAsp4">#REF!</definedName>
    <definedName name="ECcat">#REF!</definedName>
    <definedName name="ECcatCore">#REF!</definedName>
    <definedName name="ee" hidden="1">{#N/A,#N/A,FALSE,"단가표지"}</definedName>
    <definedName name="eee" hidden="1">#REF!</definedName>
    <definedName name="EF_Comp_CH4" hidden="1">#REF!</definedName>
    <definedName name="EF_Comp_N2O" hidden="1">#REF!</definedName>
    <definedName name="EF_Digest_CH4" hidden="1">#REF!</definedName>
    <definedName name="EF_Digest_N2O" hidden="1">#REF!</definedName>
    <definedName name="EF_Elec_CH4" hidden="1">#REF!</definedName>
    <definedName name="EF_Elec_CO2" hidden="1">#REF!</definedName>
    <definedName name="EF_Elec_N2O" hidden="1">#REF!</definedName>
    <definedName name="EF_Elec_year" hidden="1">#REF!</definedName>
    <definedName name="EF_Energy_f_gas" hidden="1">#REF!</definedName>
    <definedName name="EF_Energy_f_liquid" hidden="1">#REF!</definedName>
    <definedName name="EF_Energy_f_Solid" hidden="1">#REF!</definedName>
    <definedName name="EF_Energy_Mobile" hidden="1">#REF!</definedName>
    <definedName name="EF_Energy_stationary" hidden="1">#REF!</definedName>
    <definedName name="EF_inciner_CH4" hidden="1">#REF!</definedName>
    <definedName name="EF_Inciner_CH4_List" hidden="1">#REF!</definedName>
    <definedName name="EF_inciner_N2O" hidden="1">#REF!</definedName>
    <definedName name="EF_Inciner_N2O_List" hidden="1">#REF!</definedName>
    <definedName name="EF_IWWater_CH4" hidden="1">#REF!</definedName>
    <definedName name="EF_IWWater_CH4_List" hidden="1">#REF!</definedName>
    <definedName name="EF_SWDS_MCF_List" hidden="1">#REF!</definedName>
    <definedName name="EF_SWDS_OX_List" hidden="1">#REF!</definedName>
    <definedName name="EF_WWater_CH4" hidden="1">#REF!</definedName>
    <definedName name="EF_WWater_N2O" hidden="1">#REF!</definedName>
    <definedName name="EK">#REF!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NAsp1">#REF!</definedName>
    <definedName name="ENAsp10">#REF!</definedName>
    <definedName name="ENAsp11">#REF!</definedName>
    <definedName name="ENAsp12">#REF!</definedName>
    <definedName name="ENAsp2">#REF!</definedName>
    <definedName name="ENAsp3">#REF!</definedName>
    <definedName name="ENAsp4">#REF!</definedName>
    <definedName name="ENAsp5">#REF!</definedName>
    <definedName name="ENAsp6">#REF!</definedName>
    <definedName name="ENAsp7">#REF!</definedName>
    <definedName name="ENAsp8">#REF!</definedName>
    <definedName name="ENAsp9">#REF!</definedName>
    <definedName name="ENcat">#REF!</definedName>
    <definedName name="ENcatCore">#REF!</definedName>
    <definedName name="EnergyList_mobile" hidden="1">#REF!</definedName>
    <definedName name="EnergyList_stationary" hidden="1">#REF!</definedName>
    <definedName name="EnergyList_고정연소" hidden="1">#REF!</definedName>
    <definedName name="EnergyList_이동연소" hidden="1">#REF!</definedName>
    <definedName name="EOGH" hidden="1">{#N/A,#N/A,FALSE,"단축1";#N/A,#N/A,FALSE,"단축2";#N/A,#N/A,FALSE,"단축3";#N/A,#N/A,FALSE,"장축";#N/A,#N/A,FALSE,"4WD"}</definedName>
    <definedName name="eq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er" hidden="1">#REF!</definedName>
    <definedName name="ERG" hidden="1">{"Wire Charts",#N/A,TRUE,"Wires"}</definedName>
    <definedName name="eth">#REF!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">#REF!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XHAUST_FAN_단가_산출">#REF!</definedName>
    <definedName name="EXPANSION_JOINT">#REF!</definedName>
    <definedName name="ExRate">#REF!</definedName>
    <definedName name="_xlnm.Extract">#REF!</definedName>
    <definedName name="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.CHART" hidden="1">{#N/A,#N/A,FALSE,"KMC최종회의(7월) 자료"}</definedName>
    <definedName name="F_123">[0]!F_123</definedName>
    <definedName name="failure">#REF!</definedName>
    <definedName name="FD" hidden="1">{#N/A,#N/A,FALSE,"Aging Summary";#N/A,#N/A,FALSE,"Ratio Analysis";#N/A,#N/A,FALSE,"Test 120 Day Accts";#N/A,#N/A,FALSE,"Tickmarks"}</definedName>
    <definedName name="fdadsfa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GS" hidden="1">{"'KET'!$A$1:$E$2423"}</definedName>
    <definedName name="Feb_Tkt">#REF!</definedName>
    <definedName name="Feb_Vol">#REF!</definedName>
    <definedName name="few">#REF!</definedName>
    <definedName name="FF" hidden="1">{"'분석(dept)'!$B$23:$K$32"}</definedName>
    <definedName name="FFF">#REF!</definedName>
    <definedName name="FFFFFDD" hidden="1">{#N/A,#N/A,FALSE,"정공"}</definedName>
    <definedName name="FFFFFFFFF" hidden="1">{#N/A,#N/A,FALSE,"정공"}</definedName>
    <definedName name="ffhsfgh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J" hidden="1">{#N/A,#N/A,FALSE,"단축1";#N/A,#N/A,FALSE,"단축2";#N/A,#N/A,FALSE,"단축3";#N/A,#N/A,FALSE,"장축";#N/A,#N/A,FALSE,"4WD"}</definedName>
    <definedName name="FGS" hidden="1">{"Wire Charts",#N/A,TRUE,"Wires"}</definedName>
    <definedName name="FINAL_FS">[0]!FINAL_FS</definedName>
    <definedName name="finalReport">[0]!finalReport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LOW" hidden="1">{#N/A,#N/A,FALSE,"KMC최종회의(7월) 자료"}</definedName>
    <definedName name="FRP">#REF!</definedName>
    <definedName name="FRP_LINING_면적_산출">#REF!</definedName>
    <definedName name="FRP_PART_견적가">#REF!</definedName>
    <definedName name="fs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sdf">#REF!</definedName>
    <definedName name="FVD">#REF!</definedName>
    <definedName name="fwe">#REF!</definedName>
    <definedName name="G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AL" hidden="1">#REF!</definedName>
    <definedName name="GASK">#REF!</definedName>
    <definedName name="GASKET">#REF!</definedName>
    <definedName name="GASVOLUME">#REF!</definedName>
    <definedName name="GASVOLUMESTP">#REF!</definedName>
    <definedName name="get_gasgperkm">#REF!</definedName>
    <definedName name="GFDS" hidden="1">{#N/A,#N/A,FALSE,"단축1";#N/A,#N/A,FALSE,"단축2";#N/A,#N/A,FALSE,"단축3";#N/A,#N/A,FALSE,"장축";#N/A,#N/A,FALSE,"4WD"}</definedName>
    <definedName name="gfgdfg" hidden="1">#REF!</definedName>
    <definedName name="Gfour1">#REF!</definedName>
    <definedName name="Gfour2">#REF!</definedName>
    <definedName name="Gfour35">#REF!</definedName>
    <definedName name="Gfour36">#REF!</definedName>
    <definedName name="Gfour37">#REF!</definedName>
    <definedName name="Gfour38">#REF!</definedName>
    <definedName name="Gfour39">#REF!</definedName>
    <definedName name="Gfour40">#REF!</definedName>
    <definedName name="Gfour41">#REF!</definedName>
    <definedName name="Gfour42">#REF!</definedName>
    <definedName name="Gfour43">#REF!</definedName>
    <definedName name="Gfour44">#REF!</definedName>
    <definedName name="Gfour45">#REF!</definedName>
    <definedName name="Gfour46">#REF!</definedName>
    <definedName name="Gfour47">#REF!</definedName>
    <definedName name="Gfour48">#REF!</definedName>
    <definedName name="Gfour49">#REF!</definedName>
    <definedName name="Gfour50">#REF!</definedName>
    <definedName name="Gfour51">#REF!</definedName>
    <definedName name="Gfour52">#REF!</definedName>
    <definedName name="Gfour53">#REF!</definedName>
    <definedName name="Gfour54">#REF!</definedName>
    <definedName name="Gfour55">#REF!</definedName>
    <definedName name="Gfour57">#REF!</definedName>
    <definedName name="Gfour58">#REF!</definedName>
    <definedName name="GfourEC1">#REF!</definedName>
    <definedName name="GfourEC2">#REF!</definedName>
    <definedName name="GfourEC3">#REF!</definedName>
    <definedName name="GfourEC4">#REF!</definedName>
    <definedName name="GfourEC5">#REF!</definedName>
    <definedName name="GfourEC6">#REF!</definedName>
    <definedName name="GfourEC7">#REF!</definedName>
    <definedName name="GfourEC8">#REF!</definedName>
    <definedName name="GfourEN1">#REF!</definedName>
    <definedName name="GfourEN10">#REF!</definedName>
    <definedName name="GfourEN11">#REF!</definedName>
    <definedName name="GfourEN12">#REF!</definedName>
    <definedName name="GfourEN13">#REF!</definedName>
    <definedName name="GfourEN14">#REF!</definedName>
    <definedName name="GfourEN15">#REF!</definedName>
    <definedName name="GfourEN16">#REF!</definedName>
    <definedName name="GfourEN17">#REF!</definedName>
    <definedName name="GfourEN18">#REF!</definedName>
    <definedName name="GfourEN19">#REF!</definedName>
    <definedName name="GfourEN2">#REF!</definedName>
    <definedName name="GfourEN20">#REF!</definedName>
    <definedName name="GfourEN21">#REF!</definedName>
    <definedName name="GfourEN22">#REF!</definedName>
    <definedName name="GfourEN23">#REF!</definedName>
    <definedName name="GfourEN24">#REF!</definedName>
    <definedName name="GfourEN25">#REF!</definedName>
    <definedName name="GfourEN26">#REF!</definedName>
    <definedName name="GfourEN27">#REF!</definedName>
    <definedName name="GfourEN28">#REF!</definedName>
    <definedName name="GfourEN3">#REF!</definedName>
    <definedName name="GfourEN32">#REF!</definedName>
    <definedName name="GfourEN33">#REF!</definedName>
    <definedName name="GfourEN4">#REF!</definedName>
    <definedName name="GfourEN5">#REF!</definedName>
    <definedName name="GfourEN6">#REF!</definedName>
    <definedName name="GfourEN7">#REF!</definedName>
    <definedName name="GfourEN8">#REF!</definedName>
    <definedName name="GfourEN9">#REF!</definedName>
    <definedName name="GfourHR1">#REF!</definedName>
    <definedName name="GfourHR10">#REF!</definedName>
    <definedName name="GfourHR11">#REF!</definedName>
    <definedName name="GfourHR2">#REF!</definedName>
    <definedName name="GfourLA1">#REF!</definedName>
    <definedName name="GfourLA10">#REF!</definedName>
    <definedName name="GfourLA11">#REF!</definedName>
    <definedName name="GfourLA14">#REF!</definedName>
    <definedName name="GfourLA15">#REF!</definedName>
    <definedName name="GfourLA2">#REF!</definedName>
    <definedName name="GfourLA3">#REF!</definedName>
    <definedName name="GfourLA5">#REF!</definedName>
    <definedName name="GfourLA6">#REF!</definedName>
    <definedName name="GfourLA7">#REF!</definedName>
    <definedName name="GfourLA8">#REF!</definedName>
    <definedName name="GfourLA9">#REF!</definedName>
    <definedName name="GfourPR1">#REF!</definedName>
    <definedName name="GfourPR2">#REF!</definedName>
    <definedName name="GfourPR3">#REF!</definedName>
    <definedName name="GfourPR4">#REF!</definedName>
    <definedName name="GfourPR5">#REF!</definedName>
    <definedName name="GfourPR6">#REF!</definedName>
    <definedName name="GfourPR7">#REF!</definedName>
    <definedName name="GfourSO1">#REF!</definedName>
    <definedName name="GfourSO10">#REF!</definedName>
    <definedName name="GfourSO2">#REF!</definedName>
    <definedName name="GfourSO3">#REF!</definedName>
    <definedName name="GfourSO4">#REF!</definedName>
    <definedName name="GfourSO5">#REF!</definedName>
    <definedName name="GfourSO9">#REF!</definedName>
    <definedName name="GGG" hidden="1">{#N/A,#N/A,FALSE,"단축1";#N/A,#N/A,FALSE,"단축2";#N/A,#N/A,FALSE,"단축3";#N/A,#N/A,FALSE,"장축";#N/A,#N/A,FALSE,"4WD"}</definedName>
    <definedName name="ggg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GGGGG" hidden="1">{#N/A,#N/A,FALSE,"정공"}</definedName>
    <definedName name="ghdg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udjk" hidden="1">{#N/A,#N/A,FALSE,"정공"}</definedName>
    <definedName name="GK" hidden="1">{#N/A,#N/A,FALSE,"단축1";#N/A,#N/A,FALSE,"단축2";#N/A,#N/A,FALSE,"단축3";#N/A,#N/A,FALSE,"장축";#N/A,#N/A,FALSE,"4WD"}</definedName>
    <definedName name="GOGOGOGO" hidden="1">{"Wire Charts",#N/A,TRUE,"Wires"}</definedName>
    <definedName name="gov">#REF!</definedName>
    <definedName name="GUBUN">#REF!</definedName>
    <definedName name="GUBUN2">#REF!</definedName>
    <definedName name="GUBUN4">#REF!</definedName>
    <definedName name="GUESTPNT">[0]!GUESTPNT</definedName>
    <definedName name="guig8yu" hidden="1">{#VALUE!,#N/A,FALSE,0;#N/A,#N/A,FALSE,0;#N/A,#N/A,FALSE,0;#N/A,#N/A,FALSE,0;#N/A,#N/A,FALSE,0}</definedName>
    <definedName name="GWP_CH4" hidden="1">#REF!</definedName>
    <definedName name="GWP_CO2" hidden="1">#REF!</definedName>
    <definedName name="GWP_N2O" hidden="1">#REF!</definedName>
    <definedName name="H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alf_life">#REF!</definedName>
    <definedName name="hh">#REF!</definedName>
    <definedName name="HHHHHHHHHH" hidden="1">{#N/A,#N/A,FALSE,"단축1";#N/A,#N/A,FALSE,"단축2";#N/A,#N/A,FALSE,"단축3";#N/A,#N/A,FALSE,"장축";#N/A,#N/A,FALSE,"4WD"}</definedName>
    <definedName name="HRAsp1">#REF!</definedName>
    <definedName name="HRAsp10">#REF!</definedName>
    <definedName name="HRAsp2">#REF!</definedName>
    <definedName name="HRAsp3">#REF!</definedName>
    <definedName name="HRAsp4">#REF!</definedName>
    <definedName name="HRAsp5">#REF!</definedName>
    <definedName name="HRAsp6">#REF!</definedName>
    <definedName name="HRAsp7">#REF!</definedName>
    <definedName name="HRAsp8">#REF!</definedName>
    <definedName name="HRAsp9">#REF!</definedName>
    <definedName name="HRsub">#REF!</definedName>
    <definedName name="HRsubCore">#REF!</definedName>
    <definedName name="h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TML_CodePage" hidden="1">949</definedName>
    <definedName name="HTML_Control" hidden="1">{"'분석(dept)'!$B$23:$K$32"}</definedName>
    <definedName name="HTML_Description" hidden="1">""</definedName>
    <definedName name="HTML_Email" hidden="1">""</definedName>
    <definedName name="HTML_Header" hidden="1">"분석(dept)"</definedName>
    <definedName name="HTML_LastUpdate" hidden="1">"2000-05-24"</definedName>
    <definedName name="HTML_LineAfter" hidden="1">FALSE</definedName>
    <definedName name="HTML_LineBefore" hidden="1">FALSE</definedName>
    <definedName name="HTML_Name" hidden="1">"윤주학"</definedName>
    <definedName name="HTML_OBDlg2" hidden="1">TRUE</definedName>
    <definedName name="HTML_OBDlg4" hidden="1">TRUE</definedName>
    <definedName name="HTML_OS" hidden="1">0</definedName>
    <definedName name="HTML_PathFile" hidden="1">"C:\DOC\일정관리\20년\5월\이익\MyHTML.htm"</definedName>
    <definedName name="HTML_Title" hidden="1">"5월영업실적"</definedName>
    <definedName name="IA">#REF!</definedName>
    <definedName name="ic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mpact_flag">#REF!</definedName>
    <definedName name="Index">#REF!</definedName>
    <definedName name="IndexArray">#REF!</definedName>
    <definedName name="ini_button_Click">[0]!ini_button_Click</definedName>
    <definedName name="IV">#REF!</definedName>
    <definedName name="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Jan_Tkt">#REF!</definedName>
    <definedName name="Jan_Vol">#REF!</definedName>
    <definedName name="January_Vol">#REF!</definedName>
    <definedName name="JDHFK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JF" hidden="1">{"'분석(dept)'!$B$23:$K$32"}</definedName>
    <definedName name="JJJ" hidden="1">{#N/A,#N/A,FALSE,"단축1";#N/A,#N/A,FALSE,"단축2";#N/A,#N/A,FALSE,"단축3";#N/A,#N/A,FALSE,"장축";#N/A,#N/A,FALSE,"4WD"}</definedName>
    <definedName name="JK" hidden="1">{#N/A,#N/A,TRUE,"Y생산";#N/A,#N/A,TRUE,"Y판매";#N/A,#N/A,TRUE,"Y총물량";#N/A,#N/A,TRUE,"Y능력";#N/A,#N/A,TRUE,"YKD"}</definedName>
    <definedName name="job_run">[0]!job_run</definedName>
    <definedName name="ju" hidden="1">"C:\DOC\일정관리\20년\4월\이익\ju.htm"</definedName>
    <definedName name="Jul_Tkt">#REF!</definedName>
    <definedName name="Jul_Vol">#REF!</definedName>
    <definedName name="Jun_Tkt">#REF!</definedName>
    <definedName name="Jun_Vol">#REF!</definedName>
    <definedName name="k" hidden="1">{#N/A,#N/A,FALSE,"PART-1234-8-12-9(41)";#N/A,#N/A,FALSE,"PARTS-2(3)";#N/A,#N/A,FALSE,"VAN SYSTEM";#N/A,#N/A,FALSE,"PARTS-10(26)";#N/A,#N/A,FALSE,"PART-5-6-7-11(14)";#N/A,#N/A,FALSE,"PARTS-4(3)";#N/A,#N/A,FALSE,"PCLASS"}</definedName>
    <definedName name="k_Indu" hidden="1">#REF!</definedName>
    <definedName name="k_MSW" hidden="1">#REF!</definedName>
    <definedName name="ket" hidden="1">{#N/A,#N/A,FALSE,"전제";#N/A,#N/A,FALSE,"표지";#N/A,#N/A,FALSE,"6D16";#N/A,#N/A,FALSE,"6D22";#N/A,#N/A,FALSE,"6D22-T";#N/A,#N/A,FALSE,"Q-DEG";#N/A,#N/A,FALSE,"총손";#N/A,#N/A,FALSE,"대당";#N/A,#N/A,FALSE,"가공비"}</definedName>
    <definedName name="key" hidden="1">#REF!</definedName>
    <definedName name="KIA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" hidden="1">#REF!</definedName>
    <definedName name="kkk" hidden="1">{#N/A,#N/A,FALSE,"KMC최종회의(7월) 자료"}</definedName>
    <definedName name="kkkk" hidden="1">#REF!</definedName>
    <definedName name="KS_E_3707">#REF!</definedName>
    <definedName name="ktft" hidden="1">3</definedName>
    <definedName name="KTM10B" hidden="1">{#N/A,#N/A,FALSE,"현장 NCR 분석";#N/A,#N/A,FALSE,"현장품질감사";#N/A,#N/A,FALSE,"현장품질감사"}</definedName>
    <definedName name="L">#REF!</definedName>
    <definedName name="L20.2">[0]!L20.2</definedName>
    <definedName name="LAAsp1">#REF!</definedName>
    <definedName name="LAAsp2">#REF!</definedName>
    <definedName name="LAAsp3">#REF!</definedName>
    <definedName name="LAAsp4">#REF!</definedName>
    <definedName name="LAAsp5">#REF!</definedName>
    <definedName name="LAAsp6">#REF!</definedName>
    <definedName name="LAAsp7">#REF!</definedName>
    <definedName name="LAAsp8">#REF!</definedName>
    <definedName name="LAsub">#REF!</definedName>
    <definedName name="LAsubCore">#REF!</definedName>
    <definedName name="LatestChange">#REF!</definedName>
    <definedName name="LatestPerson">#REF!</definedName>
    <definedName name="LatestVersion">#REF!</definedName>
    <definedName name="lease" hidden="1">#REF!</definedName>
    <definedName name="lease2" hidden="1">#REF!</definedName>
    <definedName name="lease3">#REF!</definedName>
    <definedName name="LineDrawConditionArea4">#REF!</definedName>
    <definedName name="LineDrawConditionArea5">#REF!</definedName>
    <definedName name="LineDrawConditionArea6">#REF!</definedName>
    <definedName name="LINE검토2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>#REF!</definedName>
    <definedName name="LLL" hidden="1">{#N/A,#N/A,FALSE,"KMC최종회의(7월) 자료"}</definedName>
    <definedName name="LLLL" hidden="1">{#N/A,#N/A,FALSE,"KMC최종회의(7월) 자료"}</definedName>
    <definedName name="LOV_ActiveList">#REF!</definedName>
    <definedName name="LOV_ODBCDataSource">#REF!</definedName>
    <definedName name="LOV_Properties">#REF!</definedName>
    <definedName name="LOV_ResampleMethod">#REF!</definedName>
    <definedName name="LOV_ReturnDataType">#REF!</definedName>
    <definedName name="LOV_SamplePoint">#REF!</definedName>
    <definedName name="LOV_TagnameList">#REF!</definedName>
    <definedName name="LOV_Tagset">#REF!</definedName>
    <definedName name="LOV_TagsetEquipment">#REF!</definedName>
    <definedName name="LOV_TagSetType">#REF!</definedName>
    <definedName name="LOV_UnitsOfMeasureList">#REF!</definedName>
    <definedName name="lps" hidden="1">{#N/A,#N/A,FALSE,"단축1";#N/A,#N/A,FALSE,"단축2";#N/A,#N/A,FALSE,"단축3";#N/A,#N/A,FALSE,"장축";#N/A,#N/A,FALSE,"4WD"}</definedName>
    <definedName name="LY" hidden="1">#REF!</definedName>
    <definedName name="M" hidden="1">{#N/A,#N/A,FALSE,"PART-1234-8-12-9(41)";#N/A,#N/A,FALSE,"PARTS-2(3)";#N/A,#N/A,FALSE,"VAN SYSTEM";#N/A,#N/A,FALSE,"PARTS-10(26)";#N/A,#N/A,FALSE,"PART-5-6-7-11(14)";#N/A,#N/A,FALSE,"PARTS-4(3)";#N/A,#N/A,FALSE,"PCLASS"}</definedName>
    <definedName name="machine">#REF!</definedName>
    <definedName name="MAIN">#REF!</definedName>
    <definedName name="Mar_Tkt">#REF!</definedName>
    <definedName name="Mar_Vol">#REF!</definedName>
    <definedName name="May_Tkt">#REF!</definedName>
    <definedName name="May_Vol">#REF!</definedName>
    <definedName name="mc">#REF!</definedName>
    <definedName name="MCF" hidden="1">#REF!</definedName>
    <definedName name="menu_button_Click">[0]!menu_button_Click</definedName>
    <definedName name="METERING_PUMP">#REF!</definedName>
    <definedName name="minconf">#REF!</definedName>
    <definedName name="MMMM" hidden="1">{#N/A,#N/A,FALSE,"KMC최종회의(7월) 자료"}</definedName>
    <definedName name="mmmmm">#REF!</definedName>
    <definedName name="ModelName">#REF!</definedName>
    <definedName name="MONITORPNT">[0]!MONITORPNT</definedName>
    <definedName name="MSDB" hidden="1">{"'KET'!$A$1:$E$2423"}</definedName>
    <definedName name="myrange">#REF!</definedName>
    <definedName name="NaOH_TANK">#REF!</definedName>
    <definedName name="NEGO">#REF!</definedName>
    <definedName name="NEW" hidden="1">#REF!</definedName>
    <definedName name="NextTagButton_Click">#N/A</definedName>
    <definedName name="N㎥">#REF!</definedName>
    <definedName name="nnnnn">#REF!</definedName>
    <definedName name="Nov_Tkt">#REF!</definedName>
    <definedName name="Nov_Vol">#REF!</definedName>
    <definedName name="N원사">#REF!</definedName>
    <definedName name="o" hidden="1">#REF!</definedName>
    <definedName name="ocf" hidden="1">#REF!</definedName>
    <definedName name="Oct_Tkt">#REF!</definedName>
    <definedName name="Oct_Vol">#REF!</definedName>
    <definedName name="OF" hidden="1">#REF!</definedName>
    <definedName name="omissionscomp">#REF!</definedName>
    <definedName name="omissionscore">#REF!</definedName>
    <definedName name="ONP" hidden="1">#REF!</definedName>
    <definedName name="OO" hidden="1">{#N/A,#N/A,FALSE,"을지 (4)";#N/A,#N/A,FALSE,"을지 (5)";#N/A,#N/A,FALSE,"을지 (6)"}</definedName>
    <definedName name="ooo">#REF!</definedName>
    <definedName name="Operation_Period">#REF!</definedName>
    <definedName name="opo" hidden="1">{#N/A,#N/A,FALSE,"지침";#N/A,#N/A,FALSE,"환경분석";#N/A,#N/A,FALSE,"Sheet16"}</definedName>
    <definedName name="OptionButton21_Click">[0]!OptionButton21_Click</definedName>
    <definedName name="Output_1st_yr">#REF!</definedName>
    <definedName name="ox">#REF!</definedName>
    <definedName name="PA">#REF!</definedName>
    <definedName name="PACKAGE3" hidden="1">{#N/A,#N/A,FALSE,"단축1";#N/A,#N/A,FALSE,"단축2";#N/A,#N/A,FALSE,"단축3";#N/A,#N/A,FALSE,"장축";#N/A,#N/A,FALSE,"4WD"}</definedName>
    <definedName name="PACompCI">#REF!</definedName>
    <definedName name="PACompCL">#REF!</definedName>
    <definedName name="PADWN" hidden="1">#REF!</definedName>
    <definedName name="PAM">#REF!</definedName>
    <definedName name="Param_Indu" hidden="1">#REF!</definedName>
    <definedName name="Param_MSW" hidden="1">#REF!</definedName>
    <definedName name="pdp_1" hidden="1">#REF!</definedName>
    <definedName name="pdp_2">#REF!</definedName>
    <definedName name="pdp_3" hidden="1">#REF!</definedName>
    <definedName name="pdp_4">#REF!</definedName>
    <definedName name="PDP1라인" hidden="1">#REF!</definedName>
    <definedName name="PE">#REF!</definedName>
    <definedName name="PHD_GetRawData">#REF!</definedName>
    <definedName name="PHD_ModData">#REF!</definedName>
    <definedName name="PHD_RemData">#REF!</definedName>
    <definedName name="PIPE_인건비_산출">#REF!</definedName>
    <definedName name="plan_m1">#REF!</definedName>
    <definedName name="plan_m2">#REF!</definedName>
    <definedName name="plNote">[0]!plNote</definedName>
    <definedName name="PLUG" hidden="1">{#N/A,#N/A,FALSE,"단축1";#N/A,#N/A,FALSE,"단축2";#N/A,#N/A,FALSE,"단축3";#N/A,#N/A,FALSE,"장축";#N/A,#N/A,FALSE,"4WD"}</definedName>
    <definedName name="PLZ" hidden="1">{"Wire Charts",#N/A,TRUE,"Wires"}</definedName>
    <definedName name="PL환산">[0]!PL환산</definedName>
    <definedName name="PP">#REF!</definedName>
    <definedName name="PPK" hidden="1">{#N/A,#N/A,FALSE,"96 3월물량표";#N/A,#N/A,FALSE,"96 4월물량표";#N/A,#N/A,FALSE,"96 5월물량표"}</definedName>
    <definedName name="PPP" hidden="1">#REF!</definedName>
    <definedName name="PPPP" hidden="1">{#N/A,#N/A,FALSE,"KMC최종회의(7월) 자료"}</definedName>
    <definedName name="PRAsp1">#REF!</definedName>
    <definedName name="PRAsp2">#REF!</definedName>
    <definedName name="PRAsp3">#REF!</definedName>
    <definedName name="PRAsp4">#REF!</definedName>
    <definedName name="PRAsp5">#REF!</definedName>
    <definedName name="PrevTagButton_Click">#N/A</definedName>
    <definedName name="_xlnm.Print_Area">#REF!</definedName>
    <definedName name="Print_Area_MI">#REF!</definedName>
    <definedName name="PRINT_AREA_MI1">#REF!</definedName>
    <definedName name="Print_area2">#REF!</definedName>
    <definedName name="Print_Title">#REF!</definedName>
    <definedName name="_xlnm.Print_Titles">#REF!</definedName>
    <definedName name="PRINT_TITLES_MI">#REF!</definedName>
    <definedName name="PRIORITY">#REF!</definedName>
    <definedName name="PRsub">#REF!</definedName>
    <definedName name="PRsubCore">#REF!</definedName>
    <definedName name="p원사">#REF!</definedName>
    <definedName name="q" hidden="1">#REF!</definedName>
    <definedName name="Q0" hidden="1">{#N/A,#N/A,FALSE,"KMC최종회의(7월) 자료"}</definedName>
    <definedName name="QAW" hidden="1">{#N/A,#N/A,FALSE,"을지 (4)";#N/A,#N/A,FALSE,"을지 (5)";#N/A,#N/A,FALSE,"을지 (6)"}</definedName>
    <definedName name="QCOST" hidden="1">{#N/A,#N/A,FALSE,"KMC최종회의(7월) 자료"}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Q" hidden="1">{#N/A,#N/A,FALSE,"KMC최종회의(7월) 자료"}</definedName>
    <definedName name="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h" hidden="1">{#N/A,#N/A,FALSE,"KMC최종회의(7월) 자료"}</definedName>
    <definedName name="qq" hidden="1">{#N/A,#N/A,FALSE,"정공"}</definedName>
    <definedName name="qqq">#REF!</definedName>
    <definedName name="QQQAAASSS" hidden="1">{#N/A,#N/A,TRUE,"Y생산";#N/A,#N/A,TRUE,"Y판매";#N/A,#N/A,TRUE,"Y총물량";#N/A,#N/A,TRUE,"Y능력";#N/A,#N/A,TRUE,"YKD"}</definedName>
    <definedName name="QQQQ" hidden="1">{#N/A,#N/A,FALSE,"단축1";#N/A,#N/A,FALSE,"단축2";#N/A,#N/A,FALSE,"단축3";#N/A,#N/A,FALSE,"장축";#N/A,#N/A,FALSE,"4WD"}</definedName>
    <definedName name="QQQQQQQ" hidden="1">{#N/A,#N/A,TRUE,"Y생산";#N/A,#N/A,TRUE,"Y판매";#N/A,#N/A,TRUE,"Y총물량";#N/A,#N/A,TRUE,"Y능력";#N/A,#N/A,TRUE,"YKD"}</definedName>
    <definedName name="QSS" hidden="1">{#N/A,#N/A,FALSE,"을지 (4)";#N/A,#N/A,FALSE,"을지 (5)";#N/A,#N/A,FALSE,"을지 (6)"}</definedName>
    <definedName name="Quality_flag">#REF!</definedName>
    <definedName name="qufcjarmfnq2" hidden="1">{#N/A,#N/A,FALSE,"정공"}</definedName>
    <definedName name="quit_button_Click">[0]!quit_button_Click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R_">#REF!</definedName>
    <definedName name="R_COVER" hidden="1">{#N/A,#N/A,FALSE,"단축1";#N/A,#N/A,FALSE,"단축2";#N/A,#N/A,FALSE,"단축3";#N/A,#N/A,FALSE,"장축";#N/A,#N/A,FALSE,"4WD"}</definedName>
    <definedName name="range1">#REF!</definedName>
    <definedName name="RDS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{"'KET'!$A$1:$E$2423"}</definedName>
    <definedName name="_xlnm.Recorder">#REF!</definedName>
    <definedName name="REDATA1">#REF!</definedName>
    <definedName name="REDATA10">#REF!</definedName>
    <definedName name="REDATA11">#REF!</definedName>
    <definedName name="REDATA12">#REF!</definedName>
    <definedName name="REDATA13">#REF!</definedName>
    <definedName name="REDATA14">#REF!</definedName>
    <definedName name="REDATA15">#REF!</definedName>
    <definedName name="REDATA16">#REF!</definedName>
    <definedName name="REDATA17">#REF!</definedName>
    <definedName name="REDATA18">#REF!</definedName>
    <definedName name="REDATA19">#REF!</definedName>
    <definedName name="REDATA2">#REF!</definedName>
    <definedName name="REDATA20">#REF!</definedName>
    <definedName name="REDATA3">#REF!</definedName>
    <definedName name="REDATA4">#REF!</definedName>
    <definedName name="REDATA5">#REF!</definedName>
    <definedName name="REDATA6">#REF!</definedName>
    <definedName name="REDATA7">#REF!</definedName>
    <definedName name="REDATA8">#REF!</definedName>
    <definedName name="REDATA9">#REF!</definedName>
    <definedName name="refdate">#REF!</definedName>
    <definedName name="reftime">#REF!</definedName>
    <definedName name="Regional_data">#REF!</definedName>
    <definedName name="reportPl">[0]!reportPl</definedName>
    <definedName name="RESISTOR" hidden="1">{#N/A,#N/A,FALSE,"단축1";#N/A,#N/A,FALSE,"단축2";#N/A,#N/A,FALSE,"단축3";#N/A,#N/A,FALSE,"장축";#N/A,#N/A,FALSE,"4WD"}</definedName>
    <definedName name="resoulution">#REF!</definedName>
    <definedName name="RF" hidden="1">{#N/A,#N/A,FALSE,"PART-1234-8-12-9(41)";#N/A,#N/A,FALSE,"PARTS-2(3)";#N/A,#N/A,FALSE,"VAN SYSTEM";#N/A,#N/A,FALSE,"PARTS-10(26)";#N/A,#N/A,FALSE,"PART-5-6-7-11(14)";#N/A,#N/A,FALSE,"PARTS-4(3)";#N/A,#N/A,FALSE,"PCLASS"}</definedName>
    <definedName name="rh" hidden="1">{#N/A,#N/A,FALSE,"KMC최종회의(7월) 자료"}</definedName>
    <definedName name="RHDTN" hidden="1">{#N/A,#N/A,FALSE,"KMC최종회의(7월) 자료"}</definedName>
    <definedName name="RISER_DUCT_SUPPORT">#REF!</definedName>
    <definedName name="Risk_flag">#REF!</definedName>
    <definedName name="RKSKDK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NG유통">OFFSET(#REF!,,,COUNTA(#REF!),23)</definedName>
    <definedName name="ROIC_2" hidden="1">{#N/A,#N/A,FALSE,"지침";#N/A,#N/A,FALSE,"환경분석";#N/A,#N/A,FALSE,"Sheet16"}</definedName>
    <definedName name="ROT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#REF!</definedName>
    <definedName name="RT" hidden="1">{#N/A,#N/A,FALSE,"단축1";#N/A,#N/A,FALSE,"단축2";#N/A,#N/A,FALSE,"단축3";#N/A,#N/A,FALSE,"장축";#N/A,#N/A,FALSE,"4WD"}</definedName>
    <definedName name="RTPNT">[0]!RTPNT</definedName>
    <definedName name="S">"15QWV4PY2XSIYEBNBHITBLGYN"</definedName>
    <definedName name="S0" hidden="1">{#N/A,#N/A,FALSE,"KMC최종회의(7월) 자료"}</definedName>
    <definedName name="sad">#REF!</definedName>
    <definedName name="SADDLE__SUPPORT_BAND">#REF!</definedName>
    <definedName name="SAGFSAFS" hidden="1">{#N/A,#N/A,FALSE,"단축1";#N/A,#N/A,FALSE,"단축2";#N/A,#N/A,FALSE,"단축3";#N/A,#N/A,FALSE,"장축";#N/A,#N/A,FALSE,"4WD"}</definedName>
    <definedName name="SAPBEXdnldView" hidden="1">"4WJ0LP35T6EMFD55KKQP7X2W6"</definedName>
    <definedName name="SAPBEXhrIndnt" hidden="1">"Wide"</definedName>
    <definedName name="SAPBEXrevision" hidden="1">1</definedName>
    <definedName name="SAPBEXsysID" hidden="1">"PBP"</definedName>
    <definedName name="SAPBEXwbID" hidden="1">"3Q4CI6AYCFB9JGJSNTJPKS7LK"</definedName>
    <definedName name="SAPBEXwbID_1" hidden="1">"3Q4CI6AYCFB9JGJSNTJPKS7LK"</definedName>
    <definedName name="SAPsysID" hidden="1">"708C5W7SBKP804JT78WJ0JNKI"</definedName>
    <definedName name="SAPwbID" hidden="1">"ARS"</definedName>
    <definedName name="sd_m1">#REF!</definedName>
    <definedName name="sd_m2">#REF!</definedName>
    <definedName name="SDA" hidden="1">{#N/A,#N/A,FALSE,"KMC최종회의(7월) 자료"}</definedName>
    <definedName name="sda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">#REF!</definedName>
    <definedName name="sdfa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s">#N/A</definedName>
    <definedName name="sdfsdf">#REF!</definedName>
    <definedName name="sdgf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sd" hidden="1">{#N/A,#N/A,FALSE,"지침";#N/A,#N/A,FALSE,"환경분석";#N/A,#N/A,FALSE,"Sheet16"}</definedName>
    <definedName name="sdsf">#REF!</definedName>
    <definedName name="SEJINBS" hidden="1">{#N/A,#N/A,FALSE,"정공"}</definedName>
    <definedName name="Select2">#REF!</definedName>
    <definedName name="Select3">#REF!</definedName>
    <definedName name="selected">#REF!</definedName>
    <definedName name="Sep_Tkt">#REF!</definedName>
    <definedName name="Sep_Vol">#REF!</definedName>
    <definedName name="sg" hidden="1">{#N/A,#N/A,FALSE,"KMC최종회의(7월) 자료"}</definedName>
    <definedName name="sheet">#REF!</definedName>
    <definedName name="SHS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idoName">#REF!</definedName>
    <definedName name="SIGHT_GLASS">#REF!</definedName>
    <definedName name="SILENCER_물량_산출">#REF!</definedName>
    <definedName name="size">#N/A</definedName>
    <definedName name="SOAsp1">#REF!</definedName>
    <definedName name="SOAsp2">#REF!</definedName>
    <definedName name="SOAsp3">#REF!</definedName>
    <definedName name="SOAsp4">#REF!</definedName>
    <definedName name="SOAsp5">#REF!</definedName>
    <definedName name="SOAsp6">#REF!</definedName>
    <definedName name="SOAsp7">#REF!</definedName>
    <definedName name="SOcat">#REF!</definedName>
    <definedName name="SOCIALcatCore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sub">#REF!</definedName>
    <definedName name="SOsubCore">#REF!</definedName>
    <definedName name="Source" hidden="1">#REF!,#REF!</definedName>
    <definedName name="spot">#REF!</definedName>
    <definedName name="SPOT판매율">#REF!</definedName>
    <definedName name="SQL_Col">#REF!</definedName>
    <definedName name="ss">#REF!</definedName>
    <definedName name="SSD" hidden="1">{#N/A,#N/A,FALSE,"을지 (4)";#N/A,#N/A,FALSE,"을지 (5)";#N/A,#N/A,FALSE,"을지 (6)"}</definedName>
    <definedName name="sss">#REF!</definedName>
    <definedName name="ss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SSSS" hidden="1">{"'KET'!$A$1:$E$2423"}</definedName>
    <definedName name="SSSSSS" hidden="1">{"Wire Charts",#N/A,TRUE,"Wires"}</definedName>
    <definedName name="SSSSSSSS" hidden="1">{"Wire Charts",#N/A,TRUE,"Wires"}</definedName>
    <definedName name="STACK_면적_산출">#REF!</definedName>
    <definedName name="Status_Checking">#REF!</definedName>
    <definedName name="Status_Overall">#REF!</definedName>
    <definedName name="Status_Update">#REF!</definedName>
    <definedName name="strat">#REF!</definedName>
    <definedName name="SUMMARY" hidden="1">#REF!</definedName>
    <definedName name="SUMMARYT" hidden="1">#REF!</definedName>
    <definedName name="sung" hidden="1">{#N/A,#N/A,FALSE,"정공"}</definedName>
    <definedName name="t" hidden="1">#REF!</definedName>
    <definedName name="tagname1">#REF!</definedName>
    <definedName name="TA게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R">#REF!</definedName>
    <definedName name="Team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HKEY">#REF!</definedName>
    <definedName name="TESTKEYS">#REF!</definedName>
    <definedName name="TESTVKEY">#REF!</definedName>
    <definedName name="TextRefCopyRangeCount" hidden="1">4</definedName>
    <definedName name="tg" hidden="1">{#N/A,#N/A,FALSE,"KMC최종회의(7월) 자료"}</definedName>
    <definedName name="THEME2" hidden="1">{#N/A,#N/A,FALSE,"96 3월물량표";#N/A,#N/A,FALSE,"96 4월물량표";#N/A,#N/A,FALSE,"96 5월물량표"}</definedName>
    <definedName name="Tier3_F_Solid" hidden="1">#REF!</definedName>
    <definedName name="TOPMENU">#REF!</definedName>
    <definedName name="TOPMENU1">#REF!</definedName>
    <definedName name="TOPMENU2">#REF!</definedName>
    <definedName name="TOPMENU3">#REF!</definedName>
    <definedName name="TOPMENU4">#REF!</definedName>
    <definedName name="TOPMENU5">#REF!</definedName>
    <definedName name="TOPMENU6">#REF!</definedName>
    <definedName name="TOPMENU7">#REF!</definedName>
    <definedName name="TOPMENU9">#REF!</definedName>
    <definedName name="TORSION" hidden="1">{#N/A,#N/A,FALSE,"단축1";#N/A,#N/A,FALSE,"단축2";#N/A,#N/A,FALSE,"단축3";#N/A,#N/A,FALSE,"장축";#N/A,#N/A,FALSE,"4WD"}</definedName>
    <definedName name="Total_WTT_EF_Gen">#REF!</definedName>
    <definedName name="TOTAL1">#REF!</definedName>
    <definedName name="TOTAL2">#REF!</definedName>
    <definedName name="t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im" hidden="1">#REF!</definedName>
    <definedName name="trim1" hidden="1">#REF!</definedName>
    <definedName name="Trouble등급">#REF!</definedName>
    <definedName name="tr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hidden="1">{#N/A,#N/A,FALSE,"단축1";#N/A,#N/A,FALSE,"단축2";#N/A,#N/A,FALSE,"단축3";#N/A,#N/A,FALSE,"장축";#N/A,#N/A,FALSE,"4WD"}</definedName>
    <definedName name="ttt">#REF!</definedName>
    <definedName name="ttttt" hidden="1">{#N/A,#N/A,FALSE,"지침";#N/A,#N/A,FALSE,"환경분석";#N/A,#N/A,FALSE,"Sheet16"}</definedName>
    <definedName name="TYPE">#REF!</definedName>
    <definedName name="TYYYYY" hidden="1">{#N/A,#N/A,FALSE,"단축1";#N/A,#N/A,FALSE,"단축2";#N/A,#N/A,FALSE,"단축3";#N/A,#N/A,FALSE,"장축";#N/A,#N/A,FALSE,"4WD"}</definedName>
    <definedName name="u" hidden="1">{#N/A,#N/A,FALSE,"PART-1234-8-12-9(41)";#N/A,#N/A,FALSE,"PARTS-2(3)";#N/A,#N/A,FALSE,"VAN SYSTEM";#N/A,#N/A,FALSE,"PARTS-10(26)";#N/A,#N/A,FALSE,"PART-5-6-7-11(14)";#N/A,#N/A,FALSE,"PARTS-4(3)";#N/A,#N/A,FALSE,"PCLASS"}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1" hidden="1">{"㎥/yr";"Ton/yr"}</definedName>
    <definedName name="Unit10" hidden="1">#REF!</definedName>
    <definedName name="Unit11" hidden="1">#REF!</definedName>
    <definedName name="Unit12" hidden="1">#REF!</definedName>
    <definedName name="Unit13" hidden="1">#REF!</definedName>
    <definedName name="Unit14" hidden="1">#REF!</definedName>
    <definedName name="Unit2" hidden="1">#REF!</definedName>
    <definedName name="Unit3" hidden="1">#REF!</definedName>
    <definedName name="Unit4" hidden="1">#REF!</definedName>
    <definedName name="Unit5" hidden="1">#REF!</definedName>
    <definedName name="Unit6" hidden="1">#REF!</definedName>
    <definedName name="Unit7" hidden="1">#REF!</definedName>
    <definedName name="Unit8" hidden="1">#REF!</definedName>
    <definedName name="Unit9" hidden="1">#REF!</definedName>
    <definedName name="units1">#REF!</definedName>
    <definedName name="unplan_m1">#REF!</definedName>
    <definedName name="unplan_m2">#REF!</definedName>
    <definedName name="up" hidden="1">{#N/A,#N/A,FALSE,"지침";#N/A,#N/A,FALSE,"환경분석";#N/A,#N/A,FALSE,"Sheet16"}</definedName>
    <definedName name="UTPNT">[0]!UTPNT</definedName>
    <definedName name="vczx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ew">#REF!</definedName>
    <definedName name="vn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vv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YW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#REF!</definedName>
    <definedName name="W0" hidden="1">{#N/A,#N/A,FALSE,"KMC최종회의(7월) 자료"}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ASDSADSA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e">#REF!</definedName>
    <definedName name="WEARF" hidden="1">{#N/A,#N/A,TRUE,"Y생산";#N/A,#N/A,TRUE,"Y판매";#N/A,#N/A,TRUE,"Y총물량";#N/A,#N/A,TRUE,"Y능력";#N/A,#N/A,TRUE,"YKD"}</definedName>
    <definedName name="wefw">#REF!</definedName>
    <definedName name="wfrew">#REF!</definedName>
    <definedName name="wg" hidden="1">{#N/A,#N/A,FALSE,"KMC최종회의(7월) 자료"}</definedName>
    <definedName name="WHDGK" hidden="1">{#N/A,#N/A,FALSE,"KMC최종회의(7월) 자료"}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m.조골재1" hidden="1">{#N/A,#N/A,FALSE,"조골재"}</definedName>
    <definedName name="WNDY" hidden="1">{#N/A,#N/A,FALSE,"PART-1234-8-12-9(41)";#N/A,#N/A,FALSE,"PARTS-2(3)";#N/A,#N/A,FALSE,"VAN SYSTEM";#N/A,#N/A,FALSE,"PARTS-10(26)";#N/A,#N/A,FALSE,"PART-5-6-7-11(14)";#N/A,#N/A,FALSE,"PARTS-4(3)";#N/A,#N/A,FALSE,"PCLASS"}</definedName>
    <definedName name="wnrk">[0]!wnrk</definedName>
    <definedName name="WQ" hidden="1">{#N/A,#N/A,FALSE,"을지 (4)";#N/A,#N/A,FALSE,"을지 (5)";#N/A,#N/A,FALSE,"을지 (6)"}</definedName>
    <definedName name="w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E" hidden="1">{#N/A,#N/A,FALSE,"KMC최종회의(7월) 자료"}</definedName>
    <definedName name="wrn" hidden="1">{#N/A,#N/A,FALSE,"단축1";#N/A,#N/A,FALSE,"단축2";#N/A,#N/A,FALSE,"단축3";#N/A,#N/A,FALSE,"장축";#N/A,#N/A,FALSE,"4WD"}</definedName>
    <definedName name="wrn.1월제조원가.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wrn.2번." hidden="1">{#N/A,#N/A,FALSE,"2~8번"}</definedName>
    <definedName name="wrn.2월제조원가.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wrn.345." hidden="1">{#N/A,#N/A,FALSE,"96 3월물량표";#N/A,#N/A,FALSE,"96 4월물량표";#N/A,#N/A,FALSE,"96 5월물량표"}</definedName>
    <definedName name="wrn.97." hidden="1">{#N/A,#N/A,FALSE,"지침";#N/A,#N/A,FALSE,"환경분석";#N/A,#N/A,FALSE,"Sheet16"}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manager." hidden="1">{#N/A,#N/A,FALSE,"PART-1234-8-12-9(41)";#N/A,#N/A,FALSE,"PARTS-2(3)";#N/A,#N/A,FALSE,"VAN SYSTEM";#N/A,#N/A,FALSE,"PARTS-10(26)";#N/A,#N/A,FALSE,"PART-5-6-7-11(14)";#N/A,#N/A,FALSE,"PARTS-4(3)";#N/A,#N/A,FALSE,"PCLASS"}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운반시간." hidden="1">{#N/A,#N/A,FALSE,"운반시간"}</definedName>
    <definedName name="wrn.월추정." hidden="1">{#N/A,#N/A,FALSE,"월추정감가상각비";#N/A,#N/A,FALSE,"main_prog"}</definedName>
    <definedName name="wrn.이정표." hidden="1">{#N/A,#N/A,FALSE,"이정표"}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조골재." hidden="1">{#N/A,#N/A,FALSE,"조골재"}</definedName>
    <definedName name="wrn.중장기._.사업계획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현장._.NCR._.분석.B" hidden="1">{#N/A,#N/A,FALSE,"현장 NCR 분석";#N/A,#N/A,FALSE,"현장품질감사";#N/A,#N/A,FALSE,"현장품질감사"}</definedName>
    <definedName name="wrn.혼합골재." hidden="1">{#N/A,#N/A,FALSE,"혼합골재"}</definedName>
    <definedName name="www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www" hidden="1">{"'분석(dept)'!$B$23:$K$32"}</definedName>
    <definedName name="W행">#REF!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hidden="1">#REF!</definedName>
    <definedName name="XREF_COLUMN_3" hidden="1">#REF!</definedName>
    <definedName name="XREF_COLUMN_4" hidden="1">#REF!</definedName>
    <definedName name="XREF_COLUMN_4B" hidden="1">#REF!</definedName>
    <definedName name="XREF_COLUMN_5" hidden="1">#REF!</definedName>
    <definedName name="XREF_COLUMN_5B" hidden="1">#REF!</definedName>
    <definedName name="XREF_COLUMN_9" hidden="1">#REF!</definedName>
    <definedName name="XRefColumnsCount" hidden="1">2</definedName>
    <definedName name="XRefCopy1" hidden="1">#REF!</definedName>
    <definedName name="XRefCopy10Row" hidden="1">#REF!</definedName>
    <definedName name="XRefCopy11Row" hidden="1">#REF!</definedName>
    <definedName name="XRefCopy12Row" hidden="1">#REF!</definedName>
    <definedName name="XRefCopy13Row" hidden="1">#REF!</definedName>
    <definedName name="XRefCopy18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Row" hidden="1">#REF!</definedName>
    <definedName name="XRefCopy3" hidden="1">#REF!</definedName>
    <definedName name="XRefCopy3B" hidden="1">#REF!</definedName>
    <definedName name="XRefCopy3Row" hidden="1">#REF!</definedName>
    <definedName name="XRefCopy3RowB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Row" hidden="1">#REF!</definedName>
    <definedName name="XRefCopy9Row" hidden="1">#REF!</definedName>
    <definedName name="XRefCopyRangeCount" hidden="1">2</definedName>
    <definedName name="XRefPaste1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3RowB" hidden="1">#REF!</definedName>
    <definedName name="XRefPaste4Row" hidden="1">#REF!</definedName>
    <definedName name="XRefPaste5Row" hidden="1">#REF!</definedName>
    <definedName name="XRefPaste6Row" hidden="1">#REF!</definedName>
    <definedName name="XRefPaste7Row" hidden="1">#REF!</definedName>
    <definedName name="XRefPaste9Row" hidden="1">#REF!</definedName>
    <definedName name="XRefPasteRangeCount" hidden="1">3</definedName>
    <definedName name="XS" hidden="1">{#N/A,#N/A,FALSE,"을지 (4)";#N/A,#N/A,FALSE,"을지 (5)";#N/A,#N/A,FALSE,"을지 (6)"}</definedName>
    <definedName name="XXXXX" hidden="1">{#N/A,#N/A,FALSE,"단축1";#N/A,#N/A,FALSE,"단축2";#N/A,#N/A,FALSE,"단축3";#N/A,#N/A,FALSE,"장축";#N/A,#N/A,FALSE,"4WD"}</definedName>
    <definedName name="year">#REF!</definedName>
    <definedName name="Year_Reporting_WTT">#REF!</definedName>
    <definedName name="YesNo">#REF!</definedName>
    <definedName name="YH" hidden="1">{#N/A,#N/A,FALSE,"PART-1234-8-12-9(41)";#N/A,#N/A,FALSE,"PARTS-2(3)";#N/A,#N/A,FALSE,"VAN SYSTEM";#N/A,#N/A,FALSE,"PARTS-10(26)";#N/A,#N/A,FALSE,"PART-5-6-7-11(14)";#N/A,#N/A,FALSE,"PARTS-4(3)";#N/A,#N/A,FALSE,"PCLASS"}</definedName>
    <definedName name="YY">#REF!</definedName>
    <definedName name="YYHY" hidden="1">{#N/A,#N/A,FALSE,"단축1";#N/A,#N/A,FALSE,"단축2";#N/A,#N/A,FALSE,"단축3";#N/A,#N/A,FALSE,"장축";#N/A,#N/A,FALSE,"4WD"}</definedName>
    <definedName name="yyy" hidden="1">{#N/A,#N/A,FALSE,"지침";#N/A,#N/A,FALSE,"환경분석";#N/A,#N/A,FALSE,"Sheet16"}</definedName>
    <definedName name="z" hidden="1">{#N/A,#N/A,FALSE,"PART-1234-8-12-9(41)";#N/A,#N/A,FALSE,"PARTS-2(3)";#N/A,#N/A,FALSE,"VAN SYSTEM";#N/A,#N/A,FALSE,"PARTS-10(26)";#N/A,#N/A,FALSE,"PART-5-6-7-11(14)";#N/A,#N/A,FALSE,"PARTS-4(3)";#N/A,#N/A,FALSE,"PCLASS"}</definedName>
    <definedName name="Z_993B4D29_7F17_47A1_A609_F44D6C7B6A19_.wvu.Cols" hidden="1">#REF!,#REF!,#REF!,#REF!</definedName>
    <definedName name="Z0" hidden="1">{#N/A,#N/A,FALSE,"KMC최종회의(7월) 자료"}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">#REF!</definedName>
    <definedName name="ㄱ" hidden="1">{#N/A,#N/A,FALSE,"기안지";#N/A,#N/A,FALSE,"통신지"}</definedName>
    <definedName name="ㄱㄱ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ㄱㄱㄱ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ㄱㄱㄱㄱ">#REF!</definedName>
    <definedName name="ㄱㄱㄱㄱ2" hidden="1">{#N/A,#N/A,FALSE,"지침";#N/A,#N/A,FALSE,"환경분석";#N/A,#N/A,FALSE,"Sheet16"}</definedName>
    <definedName name="ㄱㄱㄱㄱㄱ" hidden="1">{#N/A,#N/A,FALSE,"지침";#N/A,#N/A,FALSE,"환경분석";#N/A,#N/A,FALSE,"Sheet16"}</definedName>
    <definedName name="ㄱㄱㄱㄱㄱㄱㄱㄱ" hidden="1">{#N/A,#N/A,FALSE,"지침";#N/A,#N/A,FALSE,"환경분석";#N/A,#N/A,FALSE,"Sheet16"}</definedName>
    <definedName name="ㄱㄳㅛㅕㅑㅐ" hidden="1">{#N/A,#N/A,FALSE,"지침";#N/A,#N/A,FALSE,"환경분석";#N/A,#N/A,FALSE,"Sheet16"}</definedName>
    <definedName name="ㄱㄷㅈㅂㅇㄱ" hidden="1">{#N/A,#N/A,FALSE,"지침";#N/A,#N/A,FALSE,"환경분석";#N/A,#N/A,FALSE,"Sheet16"}</definedName>
    <definedName name="ㄱㄹㅇㄴ" hidden="1">{#N/A,#N/A,FALSE,"지침";#N/A,#N/A,FALSE,"환경분석";#N/A,#N/A,FALSE,"Sheet16"}</definedName>
    <definedName name="ㄱㅀㅊㄴㄹㄴ" hidden="1">{#N/A,#N/A,FALSE,"Aging Summary";#N/A,#N/A,FALSE,"Ratio Analysis";#N/A,#N/A,FALSE,"Test 120 Day Accts";#N/A,#N/A,FALSE,"Tickmarks"}</definedName>
    <definedName name="ㄱㅂ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{#N/A,#N/A,FALSE,"KMC최종회의(7월) 자료"}</definedName>
    <definedName name="ㄱ쇼ㅕㅑㅑㅏ" hidden="1">{#N/A,#N/A,FALSE,"지침";#N/A,#N/A,FALSE,"환경분석";#N/A,#N/A,FALSE,"Sheet16"}</definedName>
    <definedName name="ㄱ쇼ㅕㅗ" hidden="1">{#N/A,#N/A,FALSE,"지침";#N/A,#N/A,FALSE,"환경분석";#N/A,#N/A,FALSE,"Sheet16"}</definedName>
    <definedName name="ㄱㅇ" hidden="1">{#N/A,#N/A,FALSE,"단축1";#N/A,#N/A,FALSE,"단축2";#N/A,#N/A,FALSE,"단축3";#N/A,#N/A,FALSE,"장축";#N/A,#N/A,FALSE,"4WD"}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>#REF!,#REF!,#REF!,#REF!,#REF!,#REF!,#REF!,#REF!,#REF!,#REF!,#REF!,#REF!,#REF!,#REF!,#REF!,#REF!,#REF!,#REF!</definedName>
    <definedName name="가1" hidden="1">{#N/A,#N/A,TRUE,"Y생산";#N/A,#N/A,TRUE,"Y판매";#N/A,#N/A,TRUE,"Y총물량";#N/A,#N/A,TRUE,"Y능력";#N/A,#N/A,TRUE,"YKD"}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공공수" hidden="1">{"'KET'!$A$1:$E$2423"}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라오케" hidden="1">{#N/A,#N/A,FALSE,"PART-1234-8-12-9(41)";#N/A,#N/A,FALSE,"PARTS-2(3)";#N/A,#N/A,FALSE,"VAN SYSTEM";#N/A,#N/A,FALSE,"PARTS-10(26)";#N/A,#N/A,FALSE,"PART-5-6-7-11(14)";#N/A,#N/A,FALSE,"PARTS-4(3)";#N/A,#N/A,FALSE,"PCLASS"}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자" hidden="1">{#N/A,#N/A,FALSE,"KMC최종회의(7월) 자료"}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간접DB">#REF!</definedName>
    <definedName name="간접매개변수">#REF!</definedName>
    <definedName name="간접배출">#REF!</definedName>
    <definedName name="간접배출계수">#REF!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>#REF!</definedName>
    <definedName name="갑지2" hidden="1">{#N/A,#N/A,FALSE,"배수2"}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개발시험종합" hidden="1">#REF!</definedName>
    <definedName name="개발일정" hidden="1">#REF!</definedName>
    <definedName name="개발일정_PIVOT">#REF!</definedName>
    <definedName name="개발지연">#REF!</definedName>
    <definedName name="개선19">#REF!</definedName>
    <definedName name="개선과정" hidden="1">{#N/A,#N/A,FALSE,"단축1";#N/A,#N/A,FALSE,"단축2";#N/A,#N/A,FALSE,"단축3";#N/A,#N/A,FALSE,"장축";#N/A,#N/A,FALSE,"4WD"}</definedName>
    <definedName name="개요1" hidden="1">#REF!</definedName>
    <definedName name="개정세율">#REF!</definedName>
    <definedName name="개정세율2002">#REF!</definedName>
    <definedName name="개정세율2003">#REF!</definedName>
    <definedName name="개정세율2004">#REF!</definedName>
    <definedName name="개정세율2005">#REF!</definedName>
    <definedName name="개정세율2006">#REF!</definedName>
    <definedName name="개정세율2007">#REF!</definedName>
    <definedName name="갤로" hidden="1">{#N/A,#N/A,FALSE,"정공"}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강보험료">#REF!</definedName>
    <definedName name="건축토공" hidden="1">{#N/A,#N/A,FALSE,"기안지";#N/A,#N/A,FALSE,"통신지"}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겉보기비중율">#REF!</definedName>
    <definedName name="견적서" hidden="1">{"'KET'!$A$1:$E$2423"}</definedName>
    <definedName name="결과">#REF!</definedName>
    <definedName name="결정세액03">#REF!</definedName>
    <definedName name="결정세액04">#REF!</definedName>
    <definedName name="경련" hidden="1">{"'KET'!$A$1:$E$2423"}</definedName>
    <definedName name="경리손익" hidden="1">{#N/A,#N/A,FALSE,"정공"}</definedName>
    <definedName name="경비1" hidden="1">#REF!</definedName>
    <definedName name="경비래요" hidden="1">{#N/A,#N/A,FALSE,"정공"}</definedName>
    <definedName name="경비실적" hidden="1">{#N/A,#N/A,FALSE,"정공"}</definedName>
    <definedName name="경영" hidden="1">{#N/A,#N/A,FALSE,"KMC최종회의(7월) 자료"}</definedName>
    <definedName name="경영여건" hidden="1">{#N/A,#N/A,FALSE,"지침";#N/A,#N/A,FALSE,"환경분석";#N/A,#N/A,FALSE,"Sheet16"}</definedName>
    <definedName name="경영전망" hidden="1">0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CUSpec">#REF!</definedName>
    <definedName name="계산TTT">#REF!</definedName>
    <definedName name="계산회수율">#REF!</definedName>
    <definedName name="계수" hidden="1">{#N/A,#N/A,FALSE,"지침";#N/A,#N/A,FALSE,"환경분석";#N/A,#N/A,FALSE,"Sheet16"}</definedName>
    <definedName name="계정CODE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" hidden="1">{#N/A,#N/A,FALSE,"정공"}</definedName>
    <definedName name="계획2" hidden="1">{#N/A,#N/A,FALSE,"정공"}</definedName>
    <definedName name="계획서" hidden="1">{#N/A,#N/A,FALSE,"PART-1234-8-12-9(41)";#N/A,#N/A,FALSE,"PARTS-2(3)";#N/A,#N/A,FALSE,"VAN SYSTEM";#N/A,#N/A,FALSE,"PARTS-10(26)";#N/A,#N/A,FALSE,"PART-5-6-7-11(14)";#N/A,#N/A,FALSE,"PARTS-4(3)";#N/A,#N/A,FALSE,"PCLASS"}</definedName>
    <definedName name="고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1" hidden="1">{#N/A,#N/A,FALSE,"KMC최종회의(7월) 자료"}</definedName>
    <definedName name="고가5개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맙">#REF!</definedName>
    <definedName name="고정매개변수">#REF!</definedName>
    <definedName name="고정연료">#REF!</definedName>
    <definedName name="고정연료명">#REF!</definedName>
    <definedName name="고정연소">#REF!</definedName>
    <definedName name="고정연소_계수">#REF!</definedName>
    <definedName name="고정자산증감" hidden="1">{#N/A,#N/A,FALSE,"지침";#N/A,#N/A,FALSE,"환경분석";#N/A,#N/A,FALSE,"Sheet16"}</definedName>
    <definedName name="고철구매단가">#REF!</definedName>
    <definedName name="고철배합비">#REF!</definedName>
    <definedName name="고체연료">#REF!</definedName>
    <definedName name="고체환산연료">#REF!</definedName>
    <definedName name="곧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{#N/A,#N/A,FALSE,"KMC최종회의(7월) 자료"}</definedName>
    <definedName name="공간" hidden="1">5</definedName>
    <definedName name="공개입찰" hidden="1">{#N/A,#N/A,FALSE,"정공"}</definedName>
    <definedName name="공공공" hidden="1">{#N/A,#N/A,FALSE,"정공"}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동구토공" hidden="1">{#N/A,#N/A,FALSE,"기안지";#N/A,#N/A,FALSE,"통신지"}</definedName>
    <definedName name="공모23" hidden="1">{#N/A,#N/A,FALSE,"현장 NCR 분석";#N/A,#N/A,FALSE,"현장품질감사";#N/A,#N/A,FALSE,"현장품질감사"}</definedName>
    <definedName name="공모23B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모24B" hidden="1">{#N/A,#N/A,FALSE,"현장 NCR 분석";#N/A,#N/A,FALSE,"현장품질감사";#N/A,#N/A,FALSE,"현장품질감사"}</definedName>
    <definedName name="공수투입" hidden="1">{#N/A,#N/A,FALSE,"정공"}</definedName>
    <definedName name="공우석" hidden="1">{#N/A,#N/A,FALSE,"KMC최종회의(7월) 자료"}</definedName>
    <definedName name="공우석aa" hidden="1">{#N/A,#N/A,FALSE,"KMC최종회의(7월) 자료"}</definedName>
    <definedName name="공임표1" hidden="1">{#N/A,#N/A,FALSE,"PART-1234-8-12-9(41)";#N/A,#N/A,FALSE,"PARTS-2(3)";#N/A,#N/A,FALSE,"VAN SYSTEM";#N/A,#N/A,FALSE,"PARTS-10(26)";#N/A,#N/A,FALSE,"PART-5-6-7-11(14)";#N/A,#N/A,FALSE,"PARTS-4(3)";#N/A,#N/A,FALSE,"PCLASS"}</definedName>
    <definedName name="공작" hidden="1">{#N/A,#N/A,FALSE,"KMC최종회의(7월) 자료"}</definedName>
    <definedName name="공작1" hidden="1">{#N/A,#N/A,FALSE,"KMC최종회의(7월) 자료"}</definedName>
    <definedName name="공작부문2" hidden="1">{#N/A,#N/A,FALSE,"KMC최종회의(7월) 자료"}</definedName>
    <definedName name="공장">#REF!</definedName>
    <definedName name="공정" hidden="1">#REF!</definedName>
    <definedName name="공정1">#REF!</definedName>
    <definedName name="공정2">#REF!</definedName>
    <definedName name="공정개선사항2">#N/A</definedName>
    <definedName name="공정개선진행사항">#N/A</definedName>
    <definedName name="공정개선진행사항2">#N/A</definedName>
    <definedName name="공정배출원구분">#REF!</definedName>
    <definedName name="공정품질개선회의" hidden="1">{#N/A,#N/A,FALSE,"PART-1234-8-12-9(41)";#N/A,#N/A,FALSE,"PARTS-2(3)";#N/A,#N/A,FALSE,"VAN SYSTEM";#N/A,#N/A,FALSE,"PARTS-10(26)";#N/A,#N/A,FALSE,"PART-5-6-7-11(14)";#N/A,#N/A,FALSE,"PARTS-4(3)";#N/A,#N/A,FALSE,"PCLASS"}</definedName>
    <definedName name="광물산업">#REF!</definedName>
    <definedName name="교육실적" hidden="1">{#N/A,#N/A,FALSE,"정공"}</definedName>
    <definedName name="교제비">#REF!</definedName>
    <definedName name="교통비">#REF!</definedName>
    <definedName name="교통비1">#REF!</definedName>
    <definedName name="구구구구" hidden="1">{#N/A,#N/A,FALSE,"배수1"}</definedName>
    <definedName name="구매품목" hidden="1">{#N/A,#N/A,FALSE,"단축1";#N/A,#N/A,FALSE,"단축2";#N/A,#N/A,FALSE,"단축3";#N/A,#N/A,FALSE,"장축";#N/A,#N/A,FALSE,"4WD"}</definedName>
    <definedName name="구분">#REF!</definedName>
    <definedName name="구분하소" hidden="1">{#N/A,#N/A,FALSE,"정공"}</definedName>
    <definedName name="구산갑지" hidden="1">#REF!</definedName>
    <definedName name="국내고철공급량">#REF!</definedName>
    <definedName name="국내고철배합비">#REF!</definedName>
    <definedName name="국내고철소요량">#REF!</definedName>
    <definedName name="국민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규" hidden="1">{#N/A,#N/A,FALSE,"KMC최종회의(7월) 자료"}</definedName>
    <definedName name="그냥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그래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그로스업03">#REF!</definedName>
    <definedName name="그로스업04">#REF!</definedName>
    <definedName name="그로스업율03">#REF!</definedName>
    <definedName name="그로스업율04">#REF!</definedName>
    <definedName name="그로스업포함배당소득금액03">#REF!</definedName>
    <definedName name="그로스업포함배당소득금액04">#REF!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2" hidden="1">{#N/A,#N/A,FALSE,"단축1";#N/A,#N/A,FALSE,"단축2";#N/A,#N/A,FALSE,"단축3";#N/A,#N/A,FALSE,"장축";#N/A,#N/A,FALSE,"4WD"}</definedName>
    <definedName name="근소공제2">#REF!</definedName>
    <definedName name="근소공제2001">#REF!</definedName>
    <definedName name="근소공제2002">#REF!</definedName>
    <definedName name="근소공제2003">#REF!</definedName>
    <definedName name="근소공제2004">#REF!</definedName>
    <definedName name="근소공제2005">#REF!</definedName>
    <definedName name="근소공제2006">#REF!</definedName>
    <definedName name="근소공제변경">#REF!</definedName>
    <definedName name="금속산업">#REF!</definedName>
    <definedName name="금액">#REF!</definedName>
    <definedName name="금액1">#REF!</definedName>
    <definedName name="금액10">#REF!</definedName>
    <definedName name="금액11">#REF!</definedName>
    <definedName name="금액12">#REF!</definedName>
    <definedName name="금액2">#REF!</definedName>
    <definedName name="금액3">#REF!</definedName>
    <definedName name="금액4">#REF!</definedName>
    <definedName name="금액5">#REF!</definedName>
    <definedName name="금액6">#REF!</definedName>
    <definedName name="금액7">#REF!</definedName>
    <definedName name="금액8">#REF!</definedName>
    <definedName name="금액9">#REF!</definedName>
    <definedName name="금월" hidden="1">{#N/A,#N/A,TRUE,"Y생산";#N/A,#N/A,TRUE,"Y판매";#N/A,#N/A,TRUE,"Y총물량";#N/A,#N/A,TRUE,"Y능력";#N/A,#N/A,TRUE,"YKD"}</definedName>
    <definedName name="금융소득계03">#REF!</definedName>
    <definedName name="금융소득계04">#REF!</definedName>
    <definedName name="금융소득비교과세산출세액03">#REF!</definedName>
    <definedName name="금융소득비교과세산출세액04">#REF!</definedName>
    <definedName name="금융소득원천징수세율03">#REF!</definedName>
    <definedName name="금융소득원천징수세율04">#REF!</definedName>
    <definedName name="금융소득종합과세기준03">#REF!</definedName>
    <definedName name="금융소득종합과세기준04">#REF!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식비">#REF!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계">#REF!</definedName>
    <definedName name="기냥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기밀비">#REF!</definedName>
    <definedName name="기본세율">#REF!</definedName>
    <definedName name="기부금">#REF!</definedName>
    <definedName name="기성수금">[0]!기성수금</definedName>
    <definedName name="기술" hidden="1">{#N/A,#N/A,FALSE,"단축1";#N/A,#N/A,FALSE,"단축2";#N/A,#N/A,FALSE,"단축3";#N/A,#N/A,FALSE,"장축";#N/A,#N/A,FALSE,"4WD"}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갑">#REF!</definedName>
    <definedName name="기안을">#REF!</definedName>
    <definedName name="기업회계기준서_제1110호__연결재무제표">#REF!</definedName>
    <definedName name="기체연료">#REF!</definedName>
    <definedName name="기체연료연소">#REF!</definedName>
    <definedName name="기타">#REF!</definedName>
    <definedName name="기타_화석연료">#REF!</definedName>
    <definedName name="기타2">#REF!</definedName>
    <definedName name="기타3">#REF!</definedName>
    <definedName name="기타고철공급량">#REF!</definedName>
    <definedName name="기타고철배합비">#REF!</definedName>
    <definedName name="기타고철소요량">#REF!</definedName>
    <definedName name="기타기타">#REF!</definedName>
    <definedName name="기타배출">#REF!</definedName>
    <definedName name="김" hidden="1">{#N/A,#N/A,FALSE,"Aging Summary";#N/A,#N/A,FALSE,"Ratio Analysis";#N/A,#N/A,FALSE,"Test 120 Day Accts";#N/A,#N/A,FALSE,"Tickmarks"}</definedName>
    <definedName name="김D" hidden="1">{"'분석(dept)'!$B$23:$K$32"}</definedName>
    <definedName name="김만식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김승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은정" hidden="1">{#N/A,#N/A,FALSE,"PART-1234-8-12-9(41)";#N/A,#N/A,FALSE,"PARTS-2(3)";#N/A,#N/A,FALSE,"VAN SYSTEM";#N/A,#N/A,FALSE,"PARTS-10(26)";#N/A,#N/A,FALSE,"PART-5-6-7-11(14)";#N/A,#N/A,FALSE,"PARTS-4(3)";#N/A,#N/A,FALSE,"PCLASS"}</definedName>
    <definedName name="김필" hidden="1">{#N/A,#N/A,FALSE,"지침";#N/A,#N/A,FALSE,"환경분석";#N/A,#N/A,FALSE,"Sheet16"}</definedName>
    <definedName name="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ㄴ1" hidden="1">{#N/A,#N/A,FALSE,"KMC최종회의(7월) 자료"}</definedName>
    <definedName name="ㄴㄴ">#REF!</definedName>
    <definedName name="ㄴㄴㄴ">#REF!</definedName>
    <definedName name="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ㄴㄴ">#REF!</definedName>
    <definedName name="ㄴㄴㄴㄴㅅㅅㅅ" hidden="1">{#N/A,#N/A,FALSE,"지침";#N/A,#N/A,FALSE,"환경분석";#N/A,#N/A,FALSE,"Sheet16"}</definedName>
    <definedName name="ㄴㄴㅁ" hidden="1">#REF!</definedName>
    <definedName name="ㄴㄴ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" hidden="1">{#N/A,#N/A,FALSE,"KMC최종회의(7월) 자료"}</definedName>
    <definedName name="ㄴㄹㅇㄹㅇㄴ" hidden="1">{#N/A,#N/A,FALSE,"Aging Summary";#N/A,#N/A,FALSE,"Ratio Analysis";#N/A,#N/A,FALSE,"Test 120 Day Accts";#N/A,#N/A,FALSE,"Tickmarks"}</definedName>
    <definedName name="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ㄻㄹ" hidden="1">{#N/A,#N/A,FALSE,"정공"}</definedName>
    <definedName name="ㄴㅇ">#REF!</definedName>
    <definedName name="ㄴㅇㄴ">#REF!</definedName>
    <definedName name="ㄴㅇㄹ">#REF!</definedName>
    <definedName name="ㄴㅇㄹ호" hidden="1">{#N/A,#N/A,FALSE,"지침";#N/A,#N/A,FALSE,"환경분석";#N/A,#N/A,FALSE,"Sheet16"}</definedName>
    <definedName name="ㄴㅇㄿ" hidden="1">{#N/A,#N/A,FALSE,"지침";#N/A,#N/A,FALSE,"환경분석";#N/A,#N/A,FALSE,"Sheet16"}</definedName>
    <definedName name="ㄴㅇㅀㅁㅇㅎㄴㅇㅁㅀㅇㅀㄴㅇㅀ" hidden="1">{#N/A,#N/A,FALSE,"정공"}</definedName>
    <definedName name="ㄴ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ㅇㅇ" hidden="1">{#N/A,#N/A,FALSE,"정공"}</definedName>
    <definedName name="ㄴ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ㅋ" hidden="1">{#N/A,#N/A,FALSE,"단축1";#N/A,#N/A,FALSE,"단축2";#N/A,#N/A,FALSE,"단축3";#N/A,#N/A,FALSE,"장축";#N/A,#N/A,FALSE,"4WD"}</definedName>
    <definedName name="나" hidden="1">{#N/A,#N/A,FALSE,"정공"}</definedName>
    <definedName name="나나아ㅓㅇㅇ" hidden="1">{#N/A,#N/A,FALSE,"정공"}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사랑" hidden="1">{#N/A,#N/A,FALSE,"정공"}</definedName>
    <definedName name="나무라오" hidden="1">{#N/A,#N/A,FALSE,"정공"}</definedName>
    <definedName name="나오너라" hidden="1">{#N/A,#N/A,FALSE,"정공"}</definedName>
    <definedName name="나오아" hidden="1">{#N/A,#N/A,FALSE,"정공"}</definedName>
    <definedName name="남궁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남성복1">#REF!</definedName>
    <definedName name="남원철" hidden="1">{#N/A,#N/A,TRUE,"Y생산";#N/A,#N/A,TRUE,"Y판매";#N/A,#N/A,TRUE,"Y총물량";#N/A,#N/A,TRUE,"Y능력";#N/A,#N/A,TRUE,"YKD"}</definedName>
    <definedName name="남의나라" hidden="1">{#N/A,#N/A,FALSE,"정공"}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실화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내역서5" hidden="1">{#N/A,#N/A,FALSE,"표지목차"}</definedName>
    <definedName name="내역서6" hidden="1">{#N/A,#N/A,FALSE,"혼합골재"}</definedName>
    <definedName name="내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넥센타이어">#REF!+#REF!</definedName>
    <definedName name="넥센타이어주식회사">#REF!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전망" hidden="1">{#N/A,#N/A,FALSE,"KMC최종회의(7월) 자료"}</definedName>
    <definedName name="년간종합2" hidden="1">{#N/A,#N/A,FALSE,"KMC최종회의(7월) 자료"}</definedName>
    <definedName name="노" hidden="1">{#N/A,#N/A,FALSE,"KMC최종회의(7월) 자료"}</definedName>
    <definedName name="노1" hidden="1">{#N/A,#N/A,FALSE,"KMC최종회의(7월) 자료"}</definedName>
    <definedName name="노무비" hidden="1">{#N/A,#N/A,FALSE,"KMC최종회의(7월) 자료"}</definedName>
    <definedName name="노무비월" hidden="1">{#N/A,#N/A,FALSE,"KMC최종회의(7월) 자료"}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누계기성" hidden="1">{#N/A,#N/A,FALSE,"단가표지"}</definedName>
    <definedName name="누계목표" hidden="1">{#N/A,#N/A,FALSE,"정공"}</definedName>
    <definedName name="누계카피" hidden="1">{#N/A,#N/A,FALSE,"정공"}</definedName>
    <definedName name="누진세율적용대상금융소득03">#REF!</definedName>
    <definedName name="누진세율적용대상금융소득04">#REF!</definedName>
    <definedName name="누진세율적용시산출세액03">#REF!</definedName>
    <definedName name="누진세율적용시산출세액04">#REF!</definedName>
    <definedName name="뉴스" hidden="1">{#N/A,#N/A,FALSE,"KMC최종회의(7월) 자료"}</definedName>
    <definedName name="느는" hidden="1">{#N/A,#N/A,FALSE,"KMC최종회의(7월) 자료"}</definedName>
    <definedName name="니니니니니니" hidden="1">{#N/A,#N/A,FALSE,"부대2"}</definedName>
    <definedName name="ㄷ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ㄷㄱㄹㅇㄹ" hidden="1">{#N/A,#N/A,FALSE,"정공"}</definedName>
    <definedName name="ㄷㄱㅎㅎㅎㅎ" hidden="1">{#N/A,#N/A,FALSE,"지침";#N/A,#N/A,FALSE,"환경분석";#N/A,#N/A,FALSE,"Sheet16"}</definedName>
    <definedName name="ㄷ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ㄷ" hidden="1">{#N/A,#N/A,FALSE,"Aging Summary";#N/A,#N/A,FALSE,"Ratio Analysis";#N/A,#N/A,FALSE,"Test 120 Day Accts";#N/A,#N/A,FALSE,"Tickmarks"}</definedName>
    <definedName name="ㄷㄷㄷㄷ" hidden="1">{#N/A,#N/A,FALSE,"지침";#N/A,#N/A,FALSE,"환경분석";#N/A,#N/A,FALSE,"Sheet16"}</definedName>
    <definedName name="ㄷㄷㄷㄷㄷㄷ" hidden="1">{#N/A,#N/A,FALSE,"지침";#N/A,#N/A,FALSE,"환경분석";#N/A,#N/A,FALSE,"Sheet16"}</definedName>
    <definedName name="ㄷㄷㄹㄹㄷㅈㄴ" hidden="1">{#N/A,#N/A,FALSE,"지침";#N/A,#N/A,FALSE,"환경분석";#N/A,#N/A,FALSE,"Sheet16"}</definedName>
    <definedName name="ㄷㄹ">#REF!</definedName>
    <definedName name="ㄷㅇ" hidden="1">{#N/A,#N/A,TRUE,"Y생산";#N/A,#N/A,TRUE,"Y판매";#N/A,#N/A,TRUE,"Y총물량";#N/A,#N/A,TRUE,"Y능력";#N/A,#N/A,TRUE,"YKD"}</definedName>
    <definedName name="ㄷㅇㄹ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ㅇㅊㄵㄷ" hidden="1">{#N/A,#N/A,FALSE,"지침";#N/A,#N/A,FALSE,"환경분석";#N/A,#N/A,FALSE,"Sheet16"}</definedName>
    <definedName name="다" hidden="1">{#N/A,#N/A,FALSE,"정공"}</definedName>
    <definedName name="다나가라" hidden="1">{#N/A,#N/A,FALSE,"정공"}</definedName>
    <definedName name="다니기시러" hidden="1">{#N/A,#N/A,FALSE,"속도"}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다른종합소득03">#REF!</definedName>
    <definedName name="다른종합소득04">#REF!</definedName>
    <definedName name="다른종합소득과세표준">#REF!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시" hidden="1">{#N/A,#N/A,FALSE,"KMC최종회의(7월) 자료"}</definedName>
    <definedName name="다음">#REF!</definedName>
    <definedName name="단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대" hidden="1">#REF!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단퇴예치금_총무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닫아줘" hidden="1">{#N/A,#N/A,FALSE,"포장1";#N/A,#N/A,FALSE,"포장1"}</definedName>
    <definedName name="당기영업이자" hidden="1">{#N/A,#N/A,FALSE,"지침";#N/A,#N/A,FALSE,"환경분석";#N/A,#N/A,FALSE,"Sheet16"}</definedName>
    <definedName name="당분석" hidden="1">{#N/A,#N/A,FALSE,"KMC최종회의(7월) 자료"}</definedName>
    <definedName name="당월계획">#REF!</definedName>
    <definedName name="당월실적">#REF!</definedName>
    <definedName name="당초계획" hidden="1">#REF!</definedName>
    <definedName name="당초기준손이" hidden="1">{#N/A,#N/A,FALSE,"정공"}</definedName>
    <definedName name="당초대비비교표" hidden="1">{#N/A,#N/A,FALSE,"정공"}</definedName>
    <definedName name="당초손익표" hidden="1">{#N/A,#N/A,FALSE,"정공"}</definedName>
    <definedName name="대" hidden="1">{#N/A,#N/A,FALSE,"정공"}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기">#REF!</definedName>
    <definedName name="대기시간">#REF!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상시트" hidden="1">{#N/A,#N/A,FALSE,"정공"}</definedName>
    <definedName name="대우" hidden="1">{#N/A,#N/A,FALSE,"정공"}</definedName>
    <definedName name="대우예산04" hidden="1">{#N/A,#N/A,FALSE,"지침";#N/A,#N/A,FALSE,"환경분석";#N/A,#N/A,FALSE,"Sheet16"}</definedName>
    <definedName name="대우예산05" hidden="1">{#N/A,#N/A,FALSE,"지침";#N/A,#N/A,FALSE,"환경분석";#N/A,#N/A,FALSE,"Sheet16"}</definedName>
    <definedName name="대우하세요" hidden="1">{#N/A,#N/A,FALSE,"정공"}</definedName>
    <definedName name="대원" hidden="1">#REF!</definedName>
    <definedName name="대원3" hidden="1">#REF!</definedName>
    <definedName name="대원4" hidden="1">#REF!</definedName>
    <definedName name="대일공업" hidden="1">{#N/A,#N/A,FALSE,"KMC최종회의(7월) 자료"}</definedName>
    <definedName name="대차대조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대차대조표.." hidden="1">#REF!</definedName>
    <definedName name="대표자명_성명">#REF!</definedName>
    <definedName name="대화상자" hidden="1">{#N/A,#N/A,FALSE,"정공"}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서인쇄비">#REF!</definedName>
    <definedName name="도시가스_LNG">#REF!</definedName>
    <definedName name="도용" hidden="1">#REF!</definedName>
    <definedName name="도착지">#REF!</definedName>
    <definedName name="도착지용이성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돌" hidden="1">{#N/A,#N/A,FALSE,"KMC최종회의(7월) 자료"}</definedName>
    <definedName name="동10" hidden="1">{#N/A,#N/A,FALSE,"KMC최종회의(7월) 자료"}</definedName>
    <definedName name="동3" hidden="1">{#N/A,#N/A,FALSE,"KMC최종회의(7월) 자료"}</definedName>
    <definedName name="동4" hidden="1">{#N/A,#N/A,FALSE,"KMC최종회의(7월) 자료"}</definedName>
    <definedName name="동6" hidden="1">{#N/A,#N/A,FALSE,"KMC최종회의(7월) 자료"}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두번째" hidden="1">{#N/A,#N/A,FALSE,"정공"}</definedName>
    <definedName name="등속1" hidden="1">{#N/A,#N/A,FALSE,"KMC최종회의(7월) 자료"}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ㄹ" hidden="1">{#N/A,#N/A,TRUE,"Y생산";#N/A,#N/A,TRUE,"Y판매";#N/A,#N/A,TRUE,"Y총물량";#N/A,#N/A,TRUE,"Y능력";#N/A,#N/A,TRUE,"YKD"}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ㄹ" hidden="1">{#N/A,#N/A,FALSE,"정공"}</definedName>
    <definedName name="ㄹㄹㄹㄹ">#REF!</definedName>
    <definedName name="ㄹㄹㄹㄹㄹ" hidden="1">{"'분석(dept)'!$B$23:$K$32"}</definedName>
    <definedName name="ㄹㄹㄹㄹㄹㄹㄹ" hidden="1">{#N/A,#N/A,FALSE,"지침";#N/A,#N/A,FALSE,"환경분석";#N/A,#N/A,FALSE,"Sheet16"}</definedName>
    <definedName name="ㄹㄹㅀ" hidden="1">{"'분석(dept)'!$B$23:$K$32"}</definedName>
    <definedName name="ㄹㄹㅀㅎㄷㄱㄷ" hidden="1">{#N/A,#N/A,FALSE,"지침";#N/A,#N/A,FALSE,"환경분석";#N/A,#N/A,FALSE,"Sheet16"}</definedName>
    <definedName name="ㄹㄹ호ㅓㅛㅜ" hidden="1">{#N/A,#N/A,FALSE,"지침";#N/A,#N/A,FALSE,"환경분석";#N/A,#N/A,FALSE,"Sheet16"}</definedName>
    <definedName name="ㄹㅇㄴ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ㄹㄹㄹ" hidden="1">{#N/A,#N/A,FALSE,"정공"}</definedName>
    <definedName name="ㄹㅇㄹㅇ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ㄹㅇㅁㄴ">#REF!</definedName>
    <definedName name="ㄹㅇㅇ">#REF!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 hidden="1">{#N/A,#N/A,FALSE,"KMC최종회의(7월) 자료"}</definedName>
    <definedName name="로커커버" hidden="1">{#N/A,#N/A,FALSE,"단축1";#N/A,#N/A,FALSE,"단축2";#N/A,#N/A,FALSE,"단축3";#N/A,#N/A,FALSE,"장축";#N/A,#N/A,FALSE,"4WD"}</definedName>
    <definedName name="롯데진주RS">#REF!</definedName>
    <definedName name="루" hidden="1">{#N/A,#N/A,FALSE,"KMC최종회의(7월) 자료"}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리스크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리스키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ㄺ" hidden="1">{#N/A,#N/A,FALSE,"Aging Summary";#N/A,#N/A,FALSE,"Ratio Analysis";#N/A,#N/A,FALSE,"Test 120 Day Accts";#N/A,#N/A,FALSE,"Tickmarks"}</definedName>
    <definedName name="ㅀ미리밀ㅎ밈림" hidden="1">{#N/A,#N/A,FALSE,"을지 (4)";#N/A,#N/A,FALSE,"을지 (5)";#N/A,#N/A,FALSE,"을지 (6)"}</definedName>
    <definedName name="ㅀㅎㅎㅎㅎㅎㅎ" hidden="1">{#N/A,#N/A,FALSE,"지침";#N/A,#N/A,FALSE,"환경분석";#N/A,#N/A,FALSE,"Sheet16"}</definedName>
    <definedName name="ㅁ">#REF!</definedName>
    <definedName name="ㅁ1">#REF!</definedName>
    <definedName name="ㅁ4" hidden="1">{#N/A,#N/A,FALSE,"단축1";#N/A,#N/A,FALSE,"단축2";#N/A,#N/A,FALSE,"단축3";#N/A,#N/A,FALSE,"장축";#N/A,#N/A,FALSE,"4WD"}</definedName>
    <definedName name="ㅁㄴ" hidden="1">{#N/A,#N/A,FALSE,"정공"}</definedName>
    <definedName name="ㅁㄴㅁㄴ" hidden="1">{#N/A,#N/A,FALSE,"정공"}</definedName>
    <definedName name="ㅁㄴㅇ" hidden="1">{#N/A,#N/A,FALSE,"단축1";#N/A,#N/A,FALSE,"단축2";#N/A,#N/A,FALSE,"단축3";#N/A,#N/A,FALSE,"장축";#N/A,#N/A,FALSE,"4WD"}</definedName>
    <definedName name="ㅁㄴㅇㄴ" hidden="1">{#N/A,#N/A,FALSE,"정공"}</definedName>
    <definedName name="ㅁㄴㅇㄹ" hidden="1">{#N/A,#N/A,FALSE,"단축1";#N/A,#N/A,FALSE,"단축2";#N/A,#N/A,FALSE,"단축3";#N/A,#N/A,FALSE,"장축";#N/A,#N/A,FALSE,"4WD"}</definedName>
    <definedName name="ㅁㄴㅇㅁ" hidden="1">{#N/A,#N/A,FALSE,"정공"}</definedName>
    <definedName name="ㅁㅁ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#REF!</definedName>
    <definedName name="ㅁㅁㅁ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ㅈ">#REF!</definedName>
    <definedName name="ㅁㅈㄷㅇㄱ" hidden="1">{#N/A,#N/A,FALSE,"지침";#N/A,#N/A,FALSE,"환경분석";#N/A,#N/A,FALSE,"Sheet16"}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맘" hidden="1">{#N/A,#N/A,FALSE,"KMC최종회의(7월) 자료"}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국어" hidden="1">{#N/A,#N/A,FALSE,"정공"}</definedName>
    <definedName name="만다라어" hidden="1">{#N/A,#N/A,FALSE,"정공"}</definedName>
    <definedName name="만다라어빈국" hidden="1">{#N/A,#N/A,FALSE,"정공"}</definedName>
    <definedName name="망망" hidden="1">{#N/A,#N/A,FALSE,"KMC최종회의(7월) 자료"}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립">#REF!</definedName>
    <definedName name="매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10월1" hidden="1">{"'분석(dept)'!$B$23:$K$32"}</definedName>
    <definedName name="매출기준" hidden="1">{#N/A,#N/A,FALSE,"정공"}</definedName>
    <definedName name="매출손익" hidden="1">{#N/A,#N/A,FALSE,"정공"}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매출코드">#REF!</definedName>
    <definedName name="매크로4">#N/A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제">#REF!</definedName>
    <definedName name="명퇴과표">#REF!</definedName>
    <definedName name="명퇴금">#REF!</definedName>
    <definedName name="명퇴산출세액">#REF!</definedName>
    <definedName name="명퇴연평균과표">#REF!</definedName>
    <definedName name="명퇴퇴직소득공제계">#REF!</definedName>
    <definedName name="명퇴환산세액">#REF!</definedName>
    <definedName name="모" hidden="1">{#N/A,#N/A,FALSE,"KMC최종회의(7월) 자료"}</definedName>
    <definedName name="모나리자아" hidden="1">{#N/A,#N/A,FALSE,"정공"}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목차" hidden="1">{#N/A,#N/A,FALSE,"단축1";#N/A,#N/A,FALSE,"단축2";#N/A,#N/A,FALSE,"단축3";#N/A,#N/A,FALSE,"장축";#N/A,#N/A,FALSE,"4WD"}</definedName>
    <definedName name="목차도" hidden="1">{#N/A,#N/A,FALSE,"정공"}</definedName>
    <definedName name="목차삽입" hidden="1">{#N/A,#N/A,FALSE,"정공"}</definedName>
    <definedName name="목표TTT">#REF!</definedName>
    <definedName name="목표전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목표회수율">#REF!</definedName>
    <definedName name="몰라" hidden="1">{#N/A,#N/A,FALSE,"정공"}</definedName>
    <definedName name="몰러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물랴자" hidden="1">{#N/A,#N/A,TRUE,"Y생산";#N/A,#N/A,TRUE,"Y판매";#N/A,#N/A,TRUE,"Y총물량";#N/A,#N/A,TRUE,"Y능력";#N/A,#N/A,TRUE,"YKD"}</definedName>
    <definedName name="물량" hidden="1">{#N/A,#N/A,FALSE,"KMC최종회의(7월) 자료"}</definedName>
    <definedName name="물량1">#REF!</definedName>
    <definedName name="물량10">#REF!</definedName>
    <definedName name="물량11">#REF!</definedName>
    <definedName name="물량12">#REF!</definedName>
    <definedName name="물량2">#REF!</definedName>
    <definedName name="물량3">#REF!</definedName>
    <definedName name="물량4">#REF!</definedName>
    <definedName name="물량5">#REF!</definedName>
    <definedName name="물량6">#REF!</definedName>
    <definedName name="물량7">#REF!</definedName>
    <definedName name="물량8">#REF!</definedName>
    <definedName name="물량9">#REF!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비">#REF!</definedName>
    <definedName name="물류비산출40FT" hidden="1">{#N/A,#N/A,FALSE,"단축1";#N/A,#N/A,FALSE,"단축2";#N/A,#N/A,FALSE,"단축3";#N/A,#N/A,FALSE,"장축";#N/A,#N/A,FALSE,"4WD"}</definedName>
    <definedName name="물수" hidden="1">{#N/A,#N/A,TRUE,"Y생산";#N/A,#N/A,TRUE,"Y판매";#N/A,#N/A,TRUE,"Y총물량";#N/A,#N/A,TRUE,"Y능력";#N/A,#N/A,TRUE,"YKD"}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미아" hidden="1">{#N/A,#N/A,FALSE,"정공"}</definedName>
    <definedName name="미석" hidden="1">{#N/A,#N/A,FALSE,"정공"}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이자1" hidden="1">#REF!</definedName>
    <definedName name="미조치원인">#REF!</definedName>
    <definedName name="미지급" hidden="1">#REF!</definedName>
    <definedName name="민총2" hidden="1">{#N/A,#N/A,FALSE,"을지 (4)";#N/A,#N/A,FALSE,"을지 (5)";#N/A,#N/A,FALSE,"을지 (6)"}</definedName>
    <definedName name="ㅂ" hidden="1">{#N/A,#N/A,TRUE,"Y생산";#N/A,#N/A,TRUE,"Y판매";#N/A,#N/A,TRUE,"Y총물량";#N/A,#N/A,TRUE,"Y능력";#N/A,#N/A,TRUE,"YKD"}</definedName>
    <definedName name="ㅂㄱㅈㄱㅈㅂㄱㅈ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ㅂㅁ" hidden="1">{#N/A,#N/A,FALSE,"KMC최종회의(7월) 자료"}</definedName>
    <definedName name="ㅂㅁㄴㅇㄷㅈ" hidden="1">{#N/A,#N/A,FALSE,"지침";#N/A,#N/A,FALSE,"환경분석";#N/A,#N/A,FALSE,"Sheet16"}</definedName>
    <definedName name="ㅂㅂㅂ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ㅂㅂㅂㅂ" hidden="1">{#N/A,#N/A,FALSE,"지침";#N/A,#N/A,FALSE,"환경분석";#N/A,#N/A,FALSE,"Sheet16"}</definedName>
    <definedName name="ㅂㅂㅂㅂㅂㅂ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ㅂㅂㅈ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ㅂ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ㄴㅁ" hidden="1">{#N/A,#N/A,FALSE,"정공"}</definedName>
    <definedName name="ㅂㅈㄷ">#N/A</definedName>
    <definedName name="바" hidden="1">{#N/A,#N/A,FALSE,"정공"}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보" hidden="1">{#N/A,#N/A,FALSE,"정공"}</definedName>
    <definedName name="바보상자" hidden="1">{#N/A,#N/A,FALSE,"정공"}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바이오매스">#REF!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경원" hidden="1">{#N/A,#N/A,FALSE,"1.CRITERIA";#N/A,#N/A,FALSE,"2.IS";#N/A,#N/A,FALSE,"3.BS";#N/A,#N/A,FALSE,"4.PER PL";#N/A,#N/A,FALSE,"5.INVESTMENT";#N/A,#N/A,FALSE,"6.공문";#N/A,#N/A,FALSE,"7.netinvest"}</definedName>
    <definedName name="박미경">#REF!</definedName>
    <definedName name="반">#REF!</definedName>
    <definedName name="반품내역" hidden="1">#REF!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신">#REF!</definedName>
    <definedName name="발안요약123" hidden="1">{#N/A,#N/A,FALSE,"정공"}</definedName>
    <definedName name="발전해외">[0]!발전해외</definedName>
    <definedName name="방법론선택">#REF!</definedName>
    <definedName name="방안" hidden="1">{#N/A,#N/A,FALSE,"PART-1234-8-12-9(41)";#N/A,#N/A,FALSE,"PARTS-2(3)";#N/A,#N/A,FALSE,"VAN SYSTEM";#N/A,#N/A,FALSE,"PARTS-10(26)";#N/A,#N/A,FALSE,"PART-5-6-7-11(14)";#N/A,#N/A,FALSE,"PARTS-4(3)";#N/A,#N/A,FALSE,"PCLASS"}</definedName>
    <definedName name="방지시설">#REF!</definedName>
    <definedName name="방지시설선정">#REF!</definedName>
    <definedName name="방진고무" hidden="1">{#N/A,#N/A,FALSE,"단축1";#N/A,#N/A,FALSE,"단축2";#N/A,#N/A,FALSE,"단축3";#N/A,#N/A,FALSE,"장축";#N/A,#N/A,FALSE,"4WD"}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당세액공제03">#REF!</definedName>
    <definedName name="배당세액공제04">#REF!</definedName>
    <definedName name="배당소득03">#REF!</definedName>
    <definedName name="배당소득04">#REF!</definedName>
    <definedName name="배부" hidden="1">{#N/A,#N/A,FALSE,"지침";#N/A,#N/A,FALSE,"환경분석";#N/A,#N/A,FALSE,"Sheet16"}</definedName>
    <definedName name="배부기준첨부" hidden="1">{#N/A,#N/A,FALSE,"정공"}</definedName>
    <definedName name="배부기준첨부하오" hidden="1">{#N/A,#N/A,FALSE,"정공"}</definedName>
    <definedName name="배부영업자산" hidden="1">{#N/A,#N/A,FALSE,"지침";#N/A,#N/A,FALSE,"환경분석";#N/A,#N/A,FALSE,"Sheet16"}</definedName>
    <definedName name="배차">#REF!</definedName>
    <definedName name="배찬식" hidden="1">{#N/A,#N/A,FALSE,"정공"}</definedName>
    <definedName name="배출시설">#REF!</definedName>
    <definedName name="배출예상농도">#REF!</definedName>
    <definedName name="배출활동">#REF!</definedName>
    <definedName name="배포용작성">#REF!</definedName>
    <definedName name="배포작성">#REF!</definedName>
    <definedName name="버바바" hidden="1">{#N/A,#N/A,FALSE,"정공"}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법_인_명_상_호">#REF!</definedName>
    <definedName name="법과표조정_2004분기_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법인등록번호">#REF!</definedName>
    <definedName name="법인요약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벼뱌ㅑㅂ">#REF!</definedName>
    <definedName name="변" hidden="1">{#N/A,#N/A,FALSE,"KMC최종회의(7월) 자료"}</definedName>
    <definedName name="변경목차" hidden="1">{#N/A,#N/A,FALSE,"단축1";#N/A,#N/A,FALSE,"단축2";#N/A,#N/A,FALSE,"단축3";#N/A,#N/A,FALSE,"장축";#N/A,#N/A,FALSE,"4WD"}</definedName>
    <definedName name="변경별첨3">#REF!</definedName>
    <definedName name="변속" hidden="1">{#N/A,#N/A,FALSE,"KMC최종회의(7월) 자료"}</definedName>
    <definedName name="변속1" hidden="1">{#N/A,#N/A,FALSE,"KMC최종회의(7월) 자료"}</definedName>
    <definedName name="변속2" hidden="1">{#N/A,#N/A,FALSE,"KMC최종회의(7월) 자료"}</definedName>
    <definedName name="변속3" hidden="1">{#N/A,#N/A,FALSE,"KMC최종회의(7월) 자료"}</definedName>
    <definedName name="변속4" hidden="1">{#N/A,#N/A,FALSE,"KMC최종회의(7월) 자료"}</definedName>
    <definedName name="별첨그룹3" hidden="1">{#N/A,#N/A,FALSE,"정공"}</definedName>
    <definedName name="별첨추가표" hidden="1">{#N/A,#N/A,FALSE,"정공"}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고" hidden="1">{#N/A,#N/A,FALSE,"단축1";#N/A,#N/A,FALSE,"단축2";#N/A,#N/A,FALSE,"단축3";#N/A,#N/A,FALSE,"장축";#N/A,#N/A,FALSE,"4WD"}</definedName>
    <definedName name="보고222" hidden="1">{#N/A,#N/A,FALSE,"KMC최종회의(7월) 자료"}</definedName>
    <definedName name="보고서111" hidden="1">{#N/A,#N/A,FALSE,"KMC최종회의(7월) 자료"}</definedName>
    <definedName name="보고양식1">#N/A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전" hidden="1">{#N/A,#N/A,FALSE,"KMC최종회의(7월) 자료"}</definedName>
    <definedName name="보충" hidden="1">#REF!</definedName>
    <definedName name="보험료">#REF!</definedName>
    <definedName name="본견">#REF!</definedName>
    <definedName name="본사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대원본" hidden="1">{#N/A,#N/A,FALSE,"토공2"}</definedName>
    <definedName name="부록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부록목차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부문별손익계산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부서종합" hidden="1">{#N/A,#N/A,FALSE,"KMC최종회의(7월) 자료"}</definedName>
    <definedName name="부실확정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분기별" hidden="1">{#N/A,#N/A,TRUE,"Y생산";#N/A,#N/A,TRUE,"Y판매";#N/A,#N/A,TRUE,"Y총물량";#N/A,#N/A,TRUE,"Y능력";#N/A,#N/A,TRUE,"YKD"}</definedName>
    <definedName name="분류">#REF!</definedName>
    <definedName name="분류기준">#REF!</definedName>
    <definedName name="분류변경기준">#REF!</definedName>
    <definedName name="분리과세시산출세액03">#REF!</definedName>
    <definedName name="분리과세시산출세액04">#REF!</definedName>
    <definedName name="분석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고">#REF!</definedName>
    <definedName name="비과세" hidden="1">#REF!</definedName>
    <definedName name="비교손익당초" hidden="1">{#N/A,#N/A,FALSE,"정공"}</definedName>
    <definedName name="비교표2" hidden="1">#REF!</definedName>
    <definedName name="비용분해2" hidden="1">{#N/A,#N/A,FALSE,"정공"}</definedName>
    <definedName name="비용산출" hidden="1">{#N/A,#N/A,FALSE,"정공"}</definedName>
    <definedName name="비율">#REF!</definedName>
    <definedName name="비이피" hidden="1">#REF!</definedName>
    <definedName name="비이피01년" hidden="1">#REF!</definedName>
    <definedName name="비이피22" hidden="1">{#N/A,#N/A,FALSE,"정공"}</definedName>
    <definedName name="비품1" hidden="1">#REF!</definedName>
    <definedName name="빗구기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hidden="1">{#N/A,#N/A,FALSE,"KMC최종회의(7월) 자료"}</definedName>
    <definedName name="ㅅㅅㅅㅅ" hidden="1">{#N/A,#N/A,FALSE,"지침";#N/A,#N/A,FALSE,"환경분석";#N/A,#N/A,FALSE,"Sheet16"}</definedName>
    <definedName name="ㅅㅅㅅㅅㅅㅅㅅㅅ" hidden="1">{#N/A,#N/A,FALSE,"지침";#N/A,#N/A,FALSE,"환경분석";#N/A,#N/A,FALSE,"Sheet16"}</definedName>
    <definedName name="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흂ㅇㅇ" hidden="1">{#N/A,#N/A,FALSE,"지침";#N/A,#N/A,FALSE,"환경분석";#N/A,#N/A,FALSE,"Sheet16"}</definedName>
    <definedName name="사" hidden="1">{#N/A,#N/A,FALSE,"KMC최종회의(7월) 자료"}</definedName>
    <definedName name="사_업_년_도">#REF!</definedName>
    <definedName name="사1" hidden="1">{#N/A,#N/A,FALSE,"지침";#N/A,#N/A,FALSE,"환경분석";#N/A,#N/A,FALSE,"Sheet16"}</definedName>
    <definedName name="사다함이" hidden="1">{#N/A,#N/A,FALSE,"정공"}</definedName>
    <definedName name="사람이야" hidden="1">{#N/A,#N/A,FALSE,"정공"}</definedName>
    <definedName name="사랑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사랑하오" hidden="1">{#N/A,#N/A,FALSE,"정공"}</definedName>
    <definedName name="사본" hidden="1">{#N/A,#N/A,FALSE,"정공"}</definedName>
    <definedName name="사시미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사업계획2" hidden="1">{#N/A,#N/A,FALSE,"정공"}</definedName>
    <definedName name="사업부양식2" hidden="1">#REF!</definedName>
    <definedName name="사업비교표" hidden="1">{#N/A,#N/A,FALSE,"정공"}</definedName>
    <definedName name="사업자등록번호">#REF!</definedName>
    <definedName name="사업장명">#REF!</definedName>
    <definedName name="사업추진" hidden="1">{#N/A,#N/A,FALSE,"정공"}</definedName>
    <definedName name="사용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사용명세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사용명치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사용부품">#REF!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전">#REF!</definedName>
    <definedName name="사전오더비율">#REF!</definedName>
    <definedName name="사진" hidden="1">{#N/A,#N/A,FALSE,"단축1";#N/A,#N/A,FALSE,"단축2";#N/A,#N/A,FALSE,"단축3";#N/A,#N/A,FALSE,"장축";#N/A,#N/A,FALSE,"4WD"}</definedName>
    <definedName name="산출세액계">#REF!</definedName>
    <definedName name="삼성" hidden="1">{#N/A,#N/A,FALSE,"정공"}</definedName>
    <definedName name="삼성2" hidden="1">{#N/A,#N/A,FALSE,"정공"}</definedName>
    <definedName name="삽입추가2" hidden="1">{#N/A,#N/A,FALSE,"정공"}</definedName>
    <definedName name="상로허호" hidden="1">{#N/A,#N/A,FALSE,"정공"}</definedName>
    <definedName name="상세" hidden="1">{#N/A,#N/A,FALSE,"KMC최종회의(7월) 자료"}</definedName>
    <definedName name="상차소요">#REF!</definedName>
    <definedName name="상차소요시간">#REF!</definedName>
    <definedName name="상차작업조건">#REF!</definedName>
    <definedName name="상품" hidden="1">#REF!</definedName>
    <definedName name="상하차작업조건">#REF!</definedName>
    <definedName name="새로" hidden="1">{#N/A,#N/A,FALSE,"KMC최종회의(7월) 자료"}</definedName>
    <definedName name="새파일편집" hidden="1">{#N/A,#N/A,FALSE,"정공"}</definedName>
    <definedName name="생기" hidden="1">{#N/A,#N/A,FALSE,"KMC최종회의(7월) 자료"}</definedName>
    <definedName name="생기수정" hidden="1">{#N/A,#N/A,FALSE,"KMC최종회의(7월) 자료"}</definedName>
    <definedName name="생기종합수정MH" hidden="1">{#N/A,#N/A,FALSE,"KMC최종회의(7월) 자료"}</definedName>
    <definedName name="생산1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생산공정">#REF!</definedName>
    <definedName name="생산능력" hidden="1">{#N/A,#N/A,FALSE,"정공"}</definedName>
    <definedName name="생산손익" hidden="1">{#N/A,#N/A,FALSE,"정공"}</definedName>
    <definedName name="생산직실적" hidden="1">{#N/A,#N/A,FALSE,"KMC최종회의(7월) 자료"}</definedName>
    <definedName name="생산품목" hidden="1">{#N/A,#N/A,FALSE,"정공"}</definedName>
    <definedName name="서" hidden="1">{#N/A,#N/A,FALSE,"KMC최종회의(7월) 자료"}</definedName>
    <definedName name="서브" hidden="1">{"'분석(dept)'!$B$23:$K$32"}</definedName>
    <definedName name="서비스영역">#REF!</definedName>
    <definedName name="서술요약" hidden="1">{#N/A,#N/A,FALSE,"정공"}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석유정제">#REF!</definedName>
    <definedName name="석유화학공정">#REF!</definedName>
    <definedName name="석회석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박연료">#REF!</definedName>
    <definedName name="선배분_01월">#REF!</definedName>
    <definedName name="선배분_01월1">#REF!</definedName>
    <definedName name="설" hidden="1">{#N/A,#N/A,FALSE,"KMC최종회의(7월) 자료"}</definedName>
    <definedName name="설계">#REF!</definedName>
    <definedName name="설계사양">#REF!</definedName>
    <definedName name="설변" hidden="1">{#N/A,#N/A,FALSE,"KMC최종회의(7월) 자료"}</definedName>
    <definedName name="설보1팀" hidden="1">{#N/A,#N/A,FALSE,"단축1";#N/A,#N/A,FALSE,"단축2";#N/A,#N/A,FALSE,"단축3";#N/A,#N/A,FALSE,"장축";#N/A,#N/A,FALSE,"4WD"}</definedName>
    <definedName name="설비군">#REF!</definedName>
    <definedName name="설비투자" hidden="1">{#N/A,#N/A,FALSE,"정공"}</definedName>
    <definedName name="설치허가">#REF!</definedName>
    <definedName name="성상_Indu" hidden="1">#REF!</definedName>
    <definedName name="성상_MSW" hidden="1">#REF!</definedName>
    <definedName name="성철">[0]!성철</definedName>
    <definedName name="성형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부절감명세서" hidden="1">{#N/A,#N/A,FALSE,"정공"}</definedName>
    <definedName name="세부추진" hidden="1">{#N/A,#N/A,FALSE,"정공"}</definedName>
    <definedName name="세왕123" hidden="1">{#N/A,#N/A,FALSE,"단축1";#N/A,#N/A,FALSE,"단축2";#N/A,#N/A,FALSE,"단축3";#N/A,#N/A,FALSE,"장축";#N/A,#N/A,FALSE,"4WD"}</definedName>
    <definedName name="세율">#REF!</definedName>
    <definedName name="세율98">#REF!</definedName>
    <definedName name="세율변동">#REF!</definedName>
    <definedName name="세율변동2007">#REF!</definedName>
    <definedName name="세전익익" hidden="1">{#N/A,#N/A,FALSE,"지침";#N/A,#N/A,FALSE,"환경분석";#N/A,#N/A,FALSE,"Sheet16"}</definedName>
    <definedName name="센터영업">#REF!</definedName>
    <definedName name="셀리카" hidden="1">#REF!</definedName>
    <definedName name="소" hidden="1">{#N/A,#N/A,FALSE,"KMC최종회의(7월) 자료"}</definedName>
    <definedName name="소각">#REF!</definedName>
    <definedName name="소모품비">#REF!</definedName>
    <definedName name="소센터">#REF!</definedName>
    <definedName name="소요기간" hidden="1">{#N/A,#N/A,FALSE,"정공"}</definedName>
    <definedName name="소재지_사업장">#REF!</definedName>
    <definedName name="소ㅓ" hidden="1">{#N/A,#N/A,FALSE,"KMC최종회의(7월) 자료"}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">#REF!</definedName>
    <definedName name="손익0610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손익계산" hidden="1">{#N/A,#N/A,FALSE,"정공"}</definedName>
    <definedName name="손익계산서" hidden="1">#REF!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관리2" hidden="1">{#N/A,#N/A,FALSE,"정공"}</definedName>
    <definedName name="손익변경" hidden="1">{#N/A,#N/A,FALSE,"지침";#N/A,#N/A,FALSE,"환경분석";#N/A,#N/A,FALSE,"Sheet16"}</definedName>
    <definedName name="손익비교표b" hidden="1">{#N/A,#N/A,FALSE,"정공"}</definedName>
    <definedName name="손익양식0903" hidden="1">{#N/A,#N/A,FALSE,"정공"}</definedName>
    <definedName name="손익종합2" hidden="1">{#N/A,#N/A,FALSE,"정공"}</definedName>
    <definedName name="솔" hidden="1">{#N/A,#N/A,FALSE,"KMC최종회의(7월) 자료"}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쇽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금">[0]!수금</definedName>
    <definedName name="수금2">[0]!수금2</definedName>
    <definedName name="수량추정" hidden="1">{#N/A,#N/A,FALSE,"정공"}</definedName>
    <definedName name="수선비">#REF!</definedName>
    <definedName name="수신처">#REF!</definedName>
    <definedName name="수원2">#REF!</definedName>
    <definedName name="수원3">#REF!</definedName>
    <definedName name="수원33">#REF!</definedName>
    <definedName name="수원555">#REF!</definedName>
    <definedName name="수익4속" hidden="1">{#N/A,#N/A,FALSE,"단축1";#N/A,#N/A,FALSE,"단축2";#N/A,#N/A,FALSE,"단축3";#N/A,#N/A,FALSE,"장축";#N/A,#N/A,FALSE,"4WD"}</definedName>
    <definedName name="수정">#REF!</definedName>
    <definedName name="수정15변속기MH" hidden="1">{#N/A,#N/A,FALSE,"KMC최종회의(7월) 자료"}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손익" hidden="1">{#N/A,#N/A,FALSE,"정공"}</definedName>
    <definedName name="수주" hidden="1">{#N/A,#N/A,FALSE,"기안지";#N/A,#N/A,FALSE,"통신지"}</definedName>
    <definedName name="수주잔고RV">[0]!수주잔고RV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통" hidden="1">{#N/A,#N/A,FALSE,"단축1";#N/A,#N/A,FALSE,"단축2";#N/A,#N/A,FALSE,"단축3";#N/A,#N/A,FALSE,"장축";#N/A,#N/A,FALSE,"4WD"}</definedName>
    <definedName name="쉬트">#REF!</definedName>
    <definedName name="스팟">#REF!</definedName>
    <definedName name="스팟2">#REF!</definedName>
    <definedName name="시" hidden="1">{#N/A,#N/A,FALSE,"KMC최종회의(7월) 자료"}</definedName>
    <definedName name="시1" hidden="1">{#N/A,#N/A,FALSE,"KMC최종회의(7월) 자료"}</definedName>
    <definedName name="시트2">#N/A</definedName>
    <definedName name="신고" hidden="1">#REF!</definedName>
    <definedName name="신규" hidden="1">{#N/A,#N/A,FALSE,"정공"}</definedName>
    <definedName name="신규투자">#REF!</definedName>
    <definedName name="신뢰성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장" hidden="1">{"'분석(dept)'!$B$23:$K$32"}</definedName>
    <definedName name="실가동생산량">#REF!</definedName>
    <definedName name="실생산량">#REF!</definedName>
    <definedName name="실적" hidden="1">{#N/A,#N/A,FALSE,"KMC최종회의(7월) 자료"}</definedName>
    <definedName name="실적99">#REF!</definedName>
    <definedName name="실적보고" hidden="1">{#N/A,#N/A,FALSE,"PART-1234-8-12-9(41)";#N/A,#N/A,FALSE,"PARTS-2(3)";#N/A,#N/A,FALSE,"VAN SYSTEM";#N/A,#N/A,FALSE,"PARTS-10(26)";#N/A,#N/A,FALSE,"PART-5-6-7-11(14)";#N/A,#N/A,FALSE,"PARTS-4(3)";#N/A,#N/A,FALSE,"PCLASS"}</definedName>
    <definedName name="실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ㅇ">#REF!</definedName>
    <definedName name="ㅇㄴ" hidden="1">#REF!</definedName>
    <definedName name="ㅇㄴ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{"'분석(dept)'!$B$23:$K$32"}</definedName>
    <definedName name="ㅇㄹㄴㄹㄴㄹㄴㅇ">#REF!</definedName>
    <definedName name="ㅇㄹㄹ" hidden="1">#REF!</definedName>
    <definedName name="ㅇㄹㄹㄴㅇ" hidden="1">{#N/A,#N/A,FALSE,"지침";#N/A,#N/A,FALSE,"환경분석";#N/A,#N/A,FALSE,"Sheet16"}</definedName>
    <definedName name="ㅇㄹㄹㄹㄹ" hidden="1">{#N/A,#N/A,FALSE,"정공"}</definedName>
    <definedName name="ㅇㄹㅇㄴㄹ" hidden="1">#REF!</definedName>
    <definedName name="ㅇㄹㅇㄹㅇ" hidden="1">{#N/A,#N/A,FALSE,"정공"}</definedName>
    <definedName name="ㅇㄹㅈㄷㅎㄹ">#REF!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ㅇㅇ" hidden="1">{#N/A,#N/A,FALSE,"지침";#N/A,#N/A,FALSE,"환경분석";#N/A,#N/A,FALSE,"Sheet16"}</definedName>
    <definedName name="ㅇㅀㅎ" hidden="1">{#N/A,#N/A,FALSE,"정공"}</definedName>
    <definedName name="ㅇㅁㅁ">#REF!</definedName>
    <definedName name="ㅇㅇ">#REF!</definedName>
    <definedName name="ㅇㅇㄴㅇㄴ" hidden="1">{#N/A,#N/A,FALSE,"정공"}</definedName>
    <definedName name="ㅇ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1">#REF!</definedName>
    <definedName name="ㅇㅇㄹㅀㅎㅎ" hidden="1">{#N/A,#N/A,FALSE,"지침";#N/A,#N/A,FALSE,"환경분석";#N/A,#N/A,FALSE,"Sheet16"}</definedName>
    <definedName name="ㅇㅇㅇ">#REF!</definedName>
    <definedName name="ㅇㅇㅇㄴㄴ" hidden="1">{#N/A,#N/A,FALSE,"정공"}</definedName>
    <definedName name="ㅇㅇㅇㅇ" hidden="1">{#N/A,#N/A,FALSE,"정공"}</definedName>
    <definedName name="ㅇㅇㅇㅇ123" hidden="1">{#N/A,#N/A,FALSE,"지침";#N/A,#N/A,FALSE,"환경분석";#N/A,#N/A,FALSE,"Sheet16"}</definedName>
    <definedName name="ㅇㅇㅇㅇㅇ" hidden="1">{#N/A,#N/A,FALSE,"정공"}</definedName>
    <definedName name="ㅇㅇㅇㅇㅇㅇ" hidden="1">{#N/A,#N/A,FALSE,"정공"}</definedName>
    <definedName name="ㅇㅇㅇㅇㅇㅇㅇ">[0]!ㅇㅇㅇㅇㅇㅇㅇ</definedName>
    <definedName name="ㅇㅇㅇㅇㅇㅇㅇㅇ" hidden="1">{#N/A,#N/A,FALSE,"지침";#N/A,#N/A,FALSE,"환경분석";#N/A,#N/A,FALSE,"Sheet16"}</definedName>
    <definedName name="ㅇㅇ이ㅏ읾" hidden="1">{#N/A,#N/A,FALSE,"1.CRITERIA";#N/A,#N/A,FALSE,"2.IS";#N/A,#N/A,FALSE,"3.BS";#N/A,#N/A,FALSE,"4.PER PL";#N/A,#N/A,FALSE,"5.INVESTMENT";#N/A,#N/A,FALSE,"6.공문";#N/A,#N/A,FALSE,"7.netinvest"}</definedName>
    <definedName name="ㅇㅍㄴ">[0]!ㅇㅍㄴ</definedName>
    <definedName name="ㅇㅎ">#REF!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나나" hidden="1">{#N/A,#N/A,FALSE,"정공"}</definedName>
    <definedName name="아나마오" hidden="1">{#N/A,#N/A,FALSE,"정공"}</definedName>
    <definedName name="아니" hidden="1">{#N/A,#N/A,FALSE,"토공2"}</definedName>
    <definedName name="아니래요" hidden="1">{#N/A,#N/A,FALSE,"정공"}</definedName>
    <definedName name="아니면말고" hidden="1">{#N/A,#N/A,FALSE,"정공"}</definedName>
    <definedName name="아니오" hidden="1">{#N/A,#N/A,FALSE,"정공"}</definedName>
    <definedName name="아니오옹" hidden="1">{#N/A,#N/A,FALSE,"정공"}</definedName>
    <definedName name="아닙니다" hidden="1">{#N/A,#N/A,FALSE,"정공"}</definedName>
    <definedName name="아들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아리랑" hidden="1">{#N/A,#N/A,FALSE,"정공"}</definedName>
    <definedName name="아리랑동동" hidden="1">{#N/A,#N/A,FALSE,"정공"}</definedName>
    <definedName name="아마도" hidden="1">{#N/A,#N/A,FALSE,"지침";#N/A,#N/A,FALSE,"환경분석";#N/A,#N/A,FALSE,"Sheet16"}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>#REF!</definedName>
    <definedName name="아앙" hidden="1">{#N/A,#N/A,FALSE,"KMC최종회의(7월) 자료"}</definedName>
    <definedName name="아울렛">#REF!</definedName>
    <definedName name="아이" hidden="1">{#N/A,#N/A,FALSE,"정공"}</definedName>
    <definedName name="안영지">#REF!</definedName>
    <definedName name="안전.">#REF!</definedName>
    <definedName name="암호특성요인도">#REF!</definedName>
    <definedName name="압력손실">#REF!</definedName>
    <definedName name="앗서" hidden="1">{#N/A,#N/A,FALSE,"정공"}</definedName>
    <definedName name="앙아앙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액슬" hidden="1">{#N/A,#N/A,FALSE,"단축1";#N/A,#N/A,FALSE,"단축2";#N/A,#N/A,FALSE,"단축3";#N/A,#N/A,FALSE,"장축";#N/A,#N/A,FALSE,"4WD"}</definedName>
    <definedName name="액체연료">#REF!</definedName>
    <definedName name="약식손익" hidden="1">{#N/A,#N/A,FALSE,"정공"}</definedName>
    <definedName name="약정상환2" hidden="1">{#N/A,#N/A,FALSE,"KMC최종회의(7월) 자료"}</definedName>
    <definedName name="약정잉자" hidden="1">{#N/A,#N/A,FALSE,"정공"}</definedName>
    <definedName name="양대호" hidden="1">{#N/A,#N/A,FALSE,"단축1";#N/A,#N/A,FALSE,"단축2";#N/A,#N/A,FALSE,"단축3";#N/A,#N/A,FALSE,"장축";#N/A,#N/A,FALSE,"4WD"}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짜란고" hidden="1">{#N/A,#N/A,FALSE,"구조1"}</definedName>
    <definedName name="어ㅗㄹ니">#REF!</definedName>
    <definedName name="업_________태">#REF!</definedName>
    <definedName name="업무보고용" hidden="1">{#N/A,#N/A,FALSE,"정공"}</definedName>
    <definedName name="업무추진방향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업체">#REF!</definedName>
    <definedName name="업체방문" hidden="1">{#N/A,#N/A,FALSE,"단축1";#N/A,#N/A,FALSE,"단축2";#N/A,#N/A,FALSE,"단축3";#N/A,#N/A,FALSE,"장축";#N/A,#N/A,FALSE,"4WD"}</definedName>
    <definedName name="업체제안요약" hidden="1">{#N/A,#N/A,FALSE,"단축1";#N/A,#N/A,FALSE,"단축2";#N/A,#N/A,FALSE,"단축3";#N/A,#N/A,FALSE,"장축";#N/A,#N/A,FALSE,"4WD"}</definedName>
    <definedName name="없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없슴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에너지열량환산기준">#REF!</definedName>
    <definedName name="에어벤트" hidden="1">{#N/A,#N/A,FALSE,"단축1";#N/A,#N/A,FALSE,"단축2";#N/A,#N/A,FALSE,"단축3";#N/A,#N/A,FALSE,"장축";#N/A,#N/A,FALSE,"4WD"}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구비">#REF!</definedName>
    <definedName name="연금보험료">#REF!</definedName>
    <definedName name="연도별손익2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연료">#REF!</definedName>
    <definedName name="연료고정">#REF!,#REF!,#REF!,#REF!,#REF!,#REF!,#REF!,#REF!,#REF!,#REF!,#REF!,#REF!,#REF!,#REF!,#REF!,#REF!,#REF!,#REF!</definedName>
    <definedName name="연료명고정">#REF!,#REF!,#REF!,#REF!,#REF!,#REF!,#REF!,#REF!,#REF!,#REF!,#REF!,#REF!,#REF!,#REF!,#REF!,#REF!,#REF!,#REF!</definedName>
    <definedName name="연료사용량">#REF!</definedName>
    <definedName name="연료타입">#REF!</definedName>
    <definedName name="연수비">#REF!</definedName>
    <definedName name="연주얀" hidden="1">{#N/A,#N/A,FALSE,"정공"}</definedName>
    <definedName name="연평균과표계">#REF!</definedName>
    <definedName name="연회장증축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계획서">#REF!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#REF!</definedName>
    <definedName name="영업외비용2">[0]!영업외비용2</definedName>
    <definedName name="영업외비용222">[0]!영업외비용222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외수지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영업현금" hidden="1">{#N/A,#N/A,FALSE,"지침";#N/A,#N/A,FALSE,"환경분석";#N/A,#N/A,FALSE,"Sheet16"}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산" hidden="1">{#N/A,#N/A,FALSE,"지침";#N/A,#N/A,FALSE,"환경분석";#N/A,#N/A,FALSE,"Sheet16"}</definedName>
    <definedName name="옛날세율89">#REF!</definedName>
    <definedName name="옛날세율91">#REF!</definedName>
    <definedName name="옛날세율93">#REF!</definedName>
    <definedName name="오" hidden="1">{#N/A,#N/A,FALSE,"KMC최종회의(7월) 자료"}</definedName>
    <definedName name="오성협" hidden="1">{#N/A,#N/A,TRUE,"Y생산";#N/A,#N/A,TRUE,"Y판매";#N/A,#N/A,TRUE,"Y총물량";#N/A,#N/A,TRUE,"Y능력";#N/A,#N/A,TRUE,"YKD"}</definedName>
    <definedName name="오수토공" hidden="1">{#N/A,#N/A,FALSE,"기안지";#N/A,#N/A,FALSE,"통신지"}</definedName>
    <definedName name="오오오">#REF!</definedName>
    <definedName name="오존층">#REF!</definedName>
    <definedName name="오주3" hidden="1">{#N/A,#N/A,FALSE,"KMC최종회의(7월) 자료"}</definedName>
    <definedName name="온실가스_배출량">#REF!</definedName>
    <definedName name="외상" hidden="1">#REF!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4" hidden="1">{#N/A,#N/A,FALSE,"KMC최종회의(7월) 자료"}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소">#REF!</definedName>
    <definedName name="요약" hidden="1">{#N/A,#N/A,FALSE,"정공"}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용수사용량">#REF!</definedName>
    <definedName name="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우오수공" hidden="1">{#N/A,#N/A,FALSE,"기안지";#N/A,#N/A,FALSE,"통신지"}</definedName>
    <definedName name="우이">#REF!</definedName>
    <definedName name="운송DB">#REF!</definedName>
    <definedName name="운송구분">#REF!</definedName>
    <definedName name="운송배출계수">#REF!</definedName>
    <definedName name="운영" hidden="1">{#N/A,#N/A,FALSE,"KMC최종회의(7월) 자료"}</definedName>
    <definedName name="운영경비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울산\\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울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원2" hidden="1">{"Wire Charts",#N/A,TRUE,"Wires"}</definedName>
    <definedName name="원가" hidden="1">{#N/A,#N/A,FALSE,"KMC최종회의(7월) 자료"}</definedName>
    <definedName name="원가관리라" hidden="1">{#N/A,#N/A,FALSE,"정공"}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적용" hidden="1">{#N/A,#N/A,FALSE,"정공"}</definedName>
    <definedName name="원가절감" hidden="1">#REF!</definedName>
    <definedName name="원가절감1" hidden="1">{#N/A,#N/A,FALSE,"PART-1234-8-12-9(41)";#N/A,#N/A,FALSE,"PARTS-2(3)";#N/A,#N/A,FALSE,"VAN SYSTEM";#N/A,#N/A,FALSE,"PARTS-10(26)";#N/A,#N/A,FALSE,"PART-5-6-7-11(14)";#N/A,#N/A,FALSE,"PARTS-4(3)";#N/A,#N/A,FALSE,"PCLASS"}</definedName>
    <definedName name="원가절감22" hidden="1">{#N/A,#N/A,FALSE,"정공"}</definedName>
    <definedName name="원가절감반영후" hidden="1">{#N/A,#N/A,FALSE,"정공"}</definedName>
    <definedName name="원가절감싯트" hidden="1">{#N/A,#N/A,FALSE,"정공"}</definedName>
    <definedName name="원가절감종합2" hidden="1">{#N/A,#N/A,FALSE,"PART-1234-8-12-9(41)";#N/A,#N/A,FALSE,"PARTS-2(3)";#N/A,#N/A,FALSE,"VAN SYSTEM";#N/A,#N/A,FALSE,"PARTS-10(26)";#N/A,#N/A,FALSE,"PART-5-6-7-11(14)";#N/A,#N/A,FALSE,"PARTS-4(3)";#N/A,#N/A,FALSE,"PCLASS"}</definedName>
    <definedName name="원가절갘" hidden="1">{#N/A,#N/A,FALSE,"PART-1234-8-12-9(41)";#N/A,#N/A,FALSE,"PARTS-2(3)";#N/A,#N/A,FALSE,"VAN SYSTEM";#N/A,#N/A,FALSE,"PARTS-10(26)";#N/A,#N/A,FALSE,"PART-5-6-7-11(14)";#N/A,#N/A,FALSE,"PARTS-4(3)";#N/A,#N/A,FALSE,"PCLASS"}</definedName>
    <definedName name="원단" hidden="1">{"'KET'!$A$1:$E$2423"}</definedName>
    <definedName name="원단위k3c10035" hidden="1">{"'KET'!$A$1:$E$2423"}</definedName>
    <definedName name="원단위현황" hidden="1">{"'KET'!$A$1:$E$2423"}</definedName>
    <definedName name="원본">#REF!</definedName>
    <definedName name="원본2" hidden="1">#REF!</definedName>
    <definedName name="원인">#REF!</definedName>
    <definedName name="원자재종합" hidden="1">{#N/A,#N/A,FALSE,"단축1";#N/A,#N/A,FALSE,"단축2";#N/A,#N/A,FALSE,"단축3";#N/A,#N/A,FALSE,"장축";#N/A,#N/A,FALSE,"4WD"}</definedName>
    <definedName name="원절감" hidden="1">{#N/A,#N/A,FALSE,"정공"}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노무비절1" hidden="1">{#N/A,#N/A,FALSE,"KMC최종회의(7월) 자료"}</definedName>
    <definedName name="월말">#REF!</definedName>
    <definedName name="월별">#REF!</definedName>
    <definedName name="월별LOSS공수감축" hidden="1">{#N/A,#N/A,FALSE,"정공"}</definedName>
    <definedName name="월별손익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월별신장율" hidden="1">{"'분석(dept)'!$B$23:$K$32"}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평균물류비">#REF!</definedName>
    <definedName name="위안화">#REF!</definedName>
    <definedName name="위치">(ROW()-4)*7+COLUMN()</definedName>
    <definedName name="유가증권" hidden="1">{#N/A,#N/A,FALSE,"Aging Summary";#N/A,#N/A,FALSE,"Ratio Analysis";#N/A,#N/A,FALSE,"Test 120 Day Accts";#N/A,#N/A,FALSE,"Tickmarks"}</definedName>
    <definedName name="유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유상사내" hidden="1">{#N/A,#N/A,FALSE,"PART-1234-8-12-9(41)";#N/A,#N/A,FALSE,"PARTS-2(3)";#N/A,#N/A,FALSE,"VAN SYSTEM";#N/A,#N/A,FALSE,"PARTS-10(26)";#N/A,#N/A,FALSE,"PART-5-6-7-11(14)";#N/A,#N/A,FALSE,"PARTS-4(3)";#N/A,#N/A,FALSE,"PCLASS"}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형">#REF!</definedName>
    <definedName name="유형근" hidden="1">"AS2DocumentEdit"</definedName>
    <definedName name="유형분류">#REF!</definedName>
    <definedName name="윤" hidden="1">{"Wire Charts",#N/A,TRUE,"Wires"}</definedName>
    <definedName name="윤성중" hidden="1">{#N/A,#N/A,FALSE,"전제";#N/A,#N/A,FALSE,"표지";#N/A,#N/A,FALSE,"6D16";#N/A,#N/A,FALSE,"6D22";#N/A,#N/A,FALSE,"6D22-T";#N/A,#N/A,FALSE,"Q-DEG";#N/A,#N/A,FALSE,"총손";#N/A,#N/A,FALSE,"대당";#N/A,#N/A,FALSE,"가공비"}</definedName>
    <definedName name="은정" hidden="1">{#N/A,#N/A,FALSE,"PART-1234-8-12-9(41)";#N/A,#N/A,FALSE,"PARTS-2(3)";#N/A,#N/A,FALSE,"VAN SYSTEM";#N/A,#N/A,FALSE,"PARTS-10(26)";#N/A,#N/A,FALSE,"PART-5-6-7-11(14)";#N/A,#N/A,FALSE,"PARTS-4(3)";#N/A,#N/A,FALSE,"PCLASS"}</definedName>
    <definedName name="이동매개변수">#REF!</definedName>
    <definedName name="이동연료명">#REF!</definedName>
    <definedName name="이동연소">#REF!</definedName>
    <definedName name="이라ㅣ아리" hidden="1">{#N/A,#N/A,FALSE,"구조2"}</definedName>
    <definedName name="이란" hidden="1">{#N/A,#N/A,FALSE,"단축1";#N/A,#N/A,FALSE,"단축2";#N/A,#N/A,FALSE,"단축3";#N/A,#N/A,FALSE,"장축";#N/A,#N/A,FALSE,"4WD"}</definedName>
    <definedName name="이름" hidden="1">{#N/A,#N/A,FALSE,"KMC최종회의(7월) 자료"}</definedName>
    <definedName name="이름없음">#N/A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성철">[0]!이성철</definedName>
    <definedName name="이슈" hidden="1">{#N/A,#N/A,FALSE,"지침";#N/A,#N/A,FALSE,"환경분석";#N/A,#N/A,FALSE,"Sheet16"}</definedName>
    <definedName name="이앙">#REF!</definedName>
    <definedName name="이윤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익잉여금처분계산서" hidden="1">{#N/A,#N/A,FALSE,"현장 NCR 분석";#N/A,#N/A,FALSE,"현장품질감사";#N/A,#N/A,FALSE,"현장품질감사"}</definedName>
    <definedName name="이익잉여금처분계산서B" hidden="1">{#N/A,#N/A,FALSE,"현장 NCR 분석";#N/A,#N/A,FALSE,"현장품질감사";#N/A,#N/A,FALSE,"현장품질감사"}</definedName>
    <definedName name="이자" hidden="1">{#N/A,#N/A,FALSE,"정공"}</definedName>
    <definedName name="이자소득03">#REF!</definedName>
    <definedName name="이자소득04">#REF!</definedName>
    <definedName name="이정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이제난" hidden="1">{#N/A,#N/A,FALSE,"단가표지"}</definedName>
    <definedName name="이종품" hidden="1">{#N/A,#N/A,FALSE,"단축1";#N/A,#N/A,FALSE,"단축2";#N/A,#N/A,FALSE,"단축3";#N/A,#N/A,FALSE,"장축";#N/A,#N/A,FALSE,"4WD"}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익산2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인건비" hidden="1">{#N/A,#N/A,FALSE,"지침";#N/A,#N/A,FALSE,"환경분석";#N/A,#N/A,FALSE,"Sheet16"}</definedName>
    <definedName name="인력조정" hidden="1">{#N/A,#N/A,FALSE,"정공"}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쇄BU" hidden="1">{#N/A,#N/A,FALSE,"지침";#N/A,#N/A,FALSE,"환경분석";#N/A,#N/A,FALSE,"Sheet16"}</definedName>
    <definedName name="인원" hidden="1">{#N/A,#N/A,FALSE,"정공"}</definedName>
    <definedName name="인원조정2" hidden="1">{#N/A,#N/A,FALSE,"정공"}</definedName>
    <definedName name="인적공제and표준공제03">#REF!</definedName>
    <definedName name="인적공제and표준공제04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부">#REF!</definedName>
    <definedName name="일일" hidden="1">{#N/A,#N/A,FALSE,"KMC최종회의(7월) 자료"}</definedName>
    <definedName name="임동원" hidden="1">{#N/A,#N/A,FALSE,"정공"}</definedName>
    <definedName name="입고">#REF!</definedName>
    <definedName name="입사일">#REF!</definedName>
    <definedName name="잏ㅁ들하" hidden="1">{#N/A,#N/A,FALSE,"골재소요량";#N/A,#N/A,FALSE,"골재소요량"}</definedName>
    <definedName name="ㅈ">#REF!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ㅌㅊㅇㄹ" hidden="1">{#N/A,#N/A,FALSE,"지침";#N/A,#N/A,FALSE,"환경분석";#N/A,#N/A,FALSE,"Sheet16"}</definedName>
    <definedName name="ㅈㄷ" hidden="1">{#N/A,#N/A,FALSE,"KMC최종회의(7월) 자료"}</definedName>
    <definedName name="ㅈㄷ234" hidden="1">{#N/A,#N/A,FALSE,"지침";#N/A,#N/A,FALSE,"환경분석";#N/A,#N/A,FALSE,"Sheet16"}</definedName>
    <definedName name="ㅈ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ㄹ" hidden="1">{#N/A,#N/A,FALSE,"KMC최종회의(7월) 자료"}</definedName>
    <definedName name="ㅈ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ㅈㅈㅈ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ㅈㅈㅈㅈ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ㅈㅈㅈㅈㅈ" hidden="1">{#N/A,#N/A,FALSE,"지침";#N/A,#N/A,FALSE,"환경분석";#N/A,#N/A,FALSE,"Sheet16"}</definedName>
    <definedName name="자금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자금계획" hidden="1">{#N/A,#N/A,FALSE,"정공"}</definedName>
    <definedName name="자금수지" hidden="1">#REF!</definedName>
    <definedName name="자금운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자금운용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자금운용표2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자금운용표설명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자동차2" hidden="1">{#N/A,#N/A,FALSE,"지침";#N/A,#N/A,FALSE,"환경분석";#N/A,#N/A,FALSE,"Sheet16"}</definedName>
    <definedName name="자동차3" hidden="1">{#N/A,#N/A,FALSE,"지침";#N/A,#N/A,FALSE,"환경분석";#N/A,#N/A,FALSE,"Sheet16"}</definedName>
    <definedName name="자동차주요2" hidden="1">{#N/A,#N/A,FALSE,"지침";#N/A,#N/A,FALSE,"환경분석";#N/A,#N/A,FALSE,"Sheet16"}</definedName>
    <definedName name="자료" hidden="1">{"'분석(dept)'!$B$23:$K$32"}</definedName>
    <definedName name="자료정리" hidden="1">{#N/A,#N/A,FALSE,"단축1";#N/A,#N/A,FALSE,"단축2";#N/A,#N/A,FALSE,"단축3";#N/A,#N/A,FALSE,"장축";#N/A,#N/A,FALSE,"4WD"}</definedName>
    <definedName name="자본금" hidden="1">{#N/A,#N/A,FALSE,"정공"}</definedName>
    <definedName name="자자자잦" hidden="1">{#N/A,#N/A,FALSE,"정공"}</definedName>
    <definedName name="자작1" hidden="1">{#N/A,#N/A,FALSE,"KMC최종회의(7월) 자료"}</definedName>
    <definedName name="자회사SM테이블기준">#REF!</definedName>
    <definedName name="작성기준올리기" hidden="1">{#N/A,#N/A,FALSE,"정공"}</definedName>
    <definedName name="작업자">#REF!</definedName>
    <definedName name="잔다르크" hidden="1">{#N/A,#N/A,FALSE,"정공"}</definedName>
    <definedName name="잡비">#REF!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재" hidden="1">{#N/A,#N/A,FALSE,"KMC최종회의(7월) 자료"}</definedName>
    <definedName name="재가공내역" hidden="1">#REF!</definedName>
    <definedName name="재경팀장" hidden="1">{#N/A,#N/A,FALSE,"정공"}</definedName>
    <definedName name="재노경" hidden="1">{#N/A,#N/A,FALSE,"KMC최종회의(7월) 자료"}</definedName>
    <definedName name="재노경1" hidden="1">{#N/A,#N/A,FALSE,"KMC최종회의(7월) 자료"}</definedName>
    <definedName name="재노경종합2" hidden="1">{#N/A,#N/A,FALSE,"KMC최종회의(7월) 자료"}</definedName>
    <definedName name="재노종" hidden="1">{#N/A,#N/A,FALSE,"KMC최종회의(7월) 자료"}</definedName>
    <definedName name="재료비">#REF!</definedName>
    <definedName name="재미없고" hidden="1">{#N/A,#N/A,FALSE,"조골재"}</definedName>
    <definedName name="재활용">#REF!</definedName>
    <definedName name="쟈" hidden="1">{#N/A,#N/A,FALSE,"KMC최종회의(7월) 자료"}</definedName>
    <definedName name="저" hidden="1">{#N/A,#N/A,FALSE,"KMC최종회의(7월) 자료"}</definedName>
    <definedName name="저1" hidden="1">{#N/A,#N/A,FALSE,"정공"}</definedName>
    <definedName name="저2" hidden="1">{#N/A,#N/A,FALSE,"정공"}</definedName>
    <definedName name="적재value">#REF!</definedName>
    <definedName name="전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_화_번_호">#REF!</definedName>
    <definedName name="전2" hidden="1">{#N/A,#N/A,FALSE,"정공"}</definedName>
    <definedName name="전기">#REF!</definedName>
    <definedName name="전기2">#REF!</definedName>
    <definedName name="전기계장">[0]!전기계장</definedName>
    <definedName name="전기신규">#REF!</definedName>
    <definedName name="전략" hidden="1">{#N/A,#N/A,FALSE,"정공"}</definedName>
    <definedName name="전략2" hidden="1">{#N/A,#N/A,FALSE,"정공"}</definedName>
    <definedName name="전략과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략과제2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략과제이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략투" hidden="1">{#N/A,#N/A,FALSE,"정공"}</definedName>
    <definedName name="전력계수">#REF!</definedName>
    <definedName name="전망" hidden="1">{#N/A,#N/A,FALSE,"KMC최종회의(7월) 자료"}</definedName>
    <definedName name="전망환산" hidden="1">{#N/A,#N/A,FALSE,"KMC최종회의(7월) 자료"}</definedName>
    <definedName name="전사1">#REF!</definedName>
    <definedName name="전사요약">#REF!</definedName>
    <definedName name="전사종합">#REF!</definedName>
    <definedName name="전자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자산업">#REF!</definedName>
    <definedName name="전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지" hidden="1">#REF!</definedName>
    <definedName name="전지양산3" hidden="1">#REF!</definedName>
    <definedName name="전차종" hidden="1">{#N/A,#N/A,FALSE,"표지";#N/A,#N/A,FALSE,"전제";#N/A,#N/A,FALSE,"대당";#N/A,#N/A,FALSE,"가공비";#N/A,#N/A,FALSE,"재료비";#N/A,#N/A,FALSE,"손익"}</definedName>
    <definedName name="전체">#REF!</definedName>
    <definedName name="전체근속연수">#REF!</definedName>
    <definedName name="전표입력항목">#REF!</definedName>
    <definedName name="전후비교표" hidden="1">{#N/A,#N/A,FALSE,"KMC최종회의(7월) 자료"}</definedName>
    <definedName name="절감3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정공" hidden="1">{#N/A,#N/A,FALSE,"정공"}</definedName>
    <definedName name="정동종합수정" hidden="1">{#N/A,#N/A,FALSE,"KMC최종회의(7월) 자료"}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유공정">#REF!</definedName>
    <definedName name="정종" hidden="1">{#N/A,#N/A,FALSE,"KMC최종회의(7월) 자료"}</definedName>
    <definedName name="정창현">[0]!정창현</definedName>
    <definedName name="제__품__명">#REF!</definedName>
    <definedName name="제목">#REF!</definedName>
    <definedName name="제약CUSpec">#REF!</definedName>
    <definedName name="제조" hidden="1">#REF!</definedName>
    <definedName name="제조부적율4월">#N/A</definedName>
    <definedName name="제조분류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제조분류000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제조분류류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제조비집ㄱㅔ표수정" hidden="1">{#N/A,#N/A,FALSE,"지침";#N/A,#N/A,FALSE,"환경분석";#N/A,#N/A,FALSE,"Sheet16"}</definedName>
    <definedName name="제조원가">#REF!</definedName>
    <definedName name="제조투입원가비교_Button1_Click">#REF!</definedName>
    <definedName name="제지공정">#REF!</definedName>
    <definedName name="제품구분손익" hidden="1">{#N/A,#N/A,FALSE,"정공"}</definedName>
    <definedName name="제품배합비계">#REF!</definedName>
    <definedName name="제품별" hidden="1">{#N/A,#N/A,FALSE,"정공"}</definedName>
    <definedName name="제품별손익" hidden="1">{#N/A,#N/A,FALSE,"정공"}</definedName>
    <definedName name="제품손익표" hidden="1">{#N/A,#N/A,FALSE,"정공"}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1">#REF!</definedName>
    <definedName name="조정후손익" hidden="1">{#N/A,#N/A,FALSE,"정공"}</definedName>
    <definedName name="조직1" hidden="1">{#N/A,#N/A,FALSE,"정공"}</definedName>
    <definedName name="조직3" hidden="1">{#N/A,#N/A,FALSE,"정공"}</definedName>
    <definedName name="조합보고" hidden="1">{#N/A,#N/A,FALSE,"KMC최종회의(7월) 자료"}</definedName>
    <definedName name="조회용">#N/A</definedName>
    <definedName name="종" hidden="1">{#N/A,#N/A,FALSE,"KMC최종회의(7월) 자료"}</definedName>
    <definedName name="종_________목">#REF!</definedName>
    <definedName name="종1" hidden="1">{#N/A,#N/A,FALSE,"KMC최종회의(7월) 자료"}</definedName>
    <definedName name="종규님" hidden="1">{#N/A,#N/A,FALSE,"PART-1234-8-12-9(41)";#N/A,#N/A,FALSE,"PARTS-2(3)";#N/A,#N/A,FALSE,"VAN SYSTEM";#N/A,#N/A,FALSE,"PARTS-10(26)";#N/A,#N/A,FALSE,"PART-5-6-7-11(14)";#N/A,#N/A,FALSE,"PARTS-4(3)";#N/A,#N/A,FALSE,"PCLASS"}</definedName>
    <definedName name="종류">#REF!</definedName>
    <definedName name="종합1" hidden="1">{#N/A,#N/A,FALSE,"KMC최종회의(7월) 자료"}</definedName>
    <definedName name="종합과세대상금융소득">#REF!</definedName>
    <definedName name="종합미래2" hidden="1">{#N/A,#N/A,FALSE,"정공"}</definedName>
    <definedName name="종합소득금액03">#REF!</definedName>
    <definedName name="종합소득금액04">#REF!</definedName>
    <definedName name="종합소득종합과세기준">#REF!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현황" hidden="1">{#N/A,#N/A,FALSE,"KMC최종회의(7월) 자료"}</definedName>
    <definedName name="주" hidden="1">{#N/A,#N/A,FALSE,"지침";#N/A,#N/A,FALSE,"환경분석";#N/A,#N/A,FALSE,"Sheet16"}</definedName>
    <definedName name="주____________소">#REF!</definedName>
    <definedName name="주가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주간">[0]!주간</definedName>
    <definedName name="주민등록번호_대표자">#REF!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현안문제점" hidden="1">{#N/A,#N/A,FALSE,"PART-1234-8-12-9(41)";#N/A,#N/A,FALSE,"PARTS-2(3)";#N/A,#N/A,FALSE,"VAN SYSTEM";#N/A,#N/A,FALSE,"PARTS-10(26)";#N/A,#N/A,FALSE,"PART-5-6-7-11(14)";#N/A,#N/A,FALSE,"PARTS-4(3)";#N/A,#N/A,FALSE,"PCLASS"}</definedName>
    <definedName name="준" hidden="1">{#N/A,#N/A,FALSE,"Aging Summary";#N/A,#N/A,FALSE,"Ratio Analysis";#N/A,#N/A,FALSE,"Test 120 Day Accts";#N/A,#N/A,FALSE,"Tickmarks"}</definedName>
    <definedName name="준비교체1">#REF!</definedName>
    <definedName name="중간정산이후근속연수">#REF!</definedName>
    <definedName name="중간정산일">#REF!</definedName>
    <definedName name="중구">#REF!</definedName>
    <definedName name="중기" hidden="1">{#N/A,#N/A,FALSE,"정공"}</definedName>
    <definedName name="중기1" hidden="1">{#N/A,#N/A,FALSE,"정공"}</definedName>
    <definedName name="중앙" hidden="1">{#N/A,#N/A,FALSE,"단축1";#N/A,#N/A,FALSE,"단축2";#N/A,#N/A,FALSE,"단축3";#N/A,#N/A,FALSE,"장축";#N/A,#N/A,FALSE,"4WD"}</definedName>
    <definedName name="중중표지" hidden="1">{#N/A,#N/A,FALSE,"정공"}</definedName>
    <definedName name="중퇴과표">#REF!</definedName>
    <definedName name="중퇴근속연수">#REF!</definedName>
    <definedName name="중퇴금">#REF!</definedName>
    <definedName name="중퇴명퇴금">#REF!</definedName>
    <definedName name="중퇴산출세액">#REF!</definedName>
    <definedName name="중퇴연평균과표">#REF!</definedName>
    <definedName name="중퇴퇴직소득공제2">#REF!</definedName>
    <definedName name="중퇴퇴직소득공제계">#REF!</definedName>
    <definedName name="중퇴환산세액">#REF!</definedName>
    <definedName name="증설">#REF!</definedName>
    <definedName name="지사순2" hidden="1">{#N/A,#N/A,FALSE,"PART-1234-8-12-9(41)";#N/A,#N/A,FALSE,"PARTS-2(3)";#N/A,#N/A,FALSE,"VAN SYSTEM";#N/A,#N/A,FALSE,"PARTS-10(26)";#N/A,#N/A,FALSE,"PART-5-6-7-11(14)";#N/A,#N/A,FALSE,"PARTS-4(3)";#N/A,#N/A,FALSE,"PCLASS"}</definedName>
    <definedName name="지속_지속">#REF!</definedName>
    <definedName name="지치고" hidden="1">{#N/A,#N/A,FALSE,"이정표"}</definedName>
    <definedName name="직" hidden="1">{#N/A,#N/A,FALSE,"배수2"}</definedName>
    <definedName name="직접DB">#REF!</definedName>
    <definedName name="직접배출계수">#REF!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진흥기계" hidden="1">{#N/A,#N/A,FALSE,"정공"}</definedName>
    <definedName name="질량단위">#REF!</definedName>
    <definedName name="ㅊ" hidden="1">{#N/A,#N/A,FALSE,"KMC최종회의(7월) 자료"}</definedName>
    <definedName name="ㅊㄹ">[0]!ㅊㄹ</definedName>
    <definedName name="ㅊㅊㅊ" hidden="1">{#N/A,#N/A,FALSE,"KMC최종회의(7월) 자료"}</definedName>
    <definedName name="ㅊㅊㅊㅊㅊㅊ" hidden="1">{#N/A,#N/A,FALSE,"지침";#N/A,#N/A,FALSE,"환경분석";#N/A,#N/A,FALSE,"Sheet16"}</definedName>
    <definedName name="ㅊㅍ">[0]!ㅊㅍ</definedName>
    <definedName name="차" hidden="1">{#N/A,#N/A,FALSE,"KMC최종회의(7월) 자료"}</definedName>
    <definedName name="차량">#REF!</definedName>
    <definedName name="차량배차시간">#REF!</definedName>
    <definedName name="차수별" hidden="1">{#N/A,#N/A,FALSE,"단축1";#N/A,#N/A,FALSE,"단축2";#N/A,#N/A,FALSE,"단축3";#N/A,#N/A,FALSE,"장축";#N/A,#N/A,FALSE,"4WD"}</definedName>
    <definedName name="차월분석2" hidden="1">{#N/A,#N/A,FALSE,"KMC최종회의(7월) 자료"}</definedName>
    <definedName name="차트" hidden="1">{#N/A,#N/A,FALSE,"정공"}</definedName>
    <definedName name="참조">#REF!</definedName>
    <definedName name="채권">#REF!</definedName>
    <definedName name="채권재고">#REF!</definedName>
    <definedName name="천콘" hidden="1">{#N/A,#N/A,FALSE,"포장2"}</definedName>
    <definedName name="철" hidden="1">{#N/A,#N/A,FALSE,"KMC최종회의(7월) 자료"}</definedName>
    <definedName name="철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첨" hidden="1">{#N/A,#N/A,FALSE,"단축1";#N/A,#N/A,FALSE,"단축2";#N/A,#N/A,FALSE,"단축3";#N/A,#N/A,FALSE,"장축";#N/A,#N/A,FALSE,"4WD"}</definedName>
    <definedName name="첨부123" hidden="1">{#N/A,#N/A,FALSE,"정공"}</definedName>
    <definedName name="첨부물" hidden="1">{#N/A,#N/A,FALSE,"정공"}</definedName>
    <definedName name="첨부양식" hidden="1">{#N/A,#N/A,FALSE,"KMC최종회의(7월) 자료"}</definedName>
    <definedName name="체력향상">#REF!</definedName>
    <definedName name="초발">#REF!</definedName>
    <definedName name="총가동생산량">#REF!</definedName>
    <definedName name="총공" hidden="1">{#N/A,#N/A,FALSE,"운반시간"}</definedName>
    <definedName name="총괄_신세대" hidden="1">{#N/A,#N/A,FALSE,"정공"}</definedName>
    <definedName name="총괄6" hidden="1">{#N/A,#N/A,FALSE,"정공"}</definedName>
    <definedName name="총원가">#REF!</definedName>
    <definedName name="총원가1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리리" hidden="1">{#N/A,#N/A,FALSE,"정공"}</definedName>
    <definedName name="최영" hidden="1">{#N/A,#N/A,FALSE,"정공"}</definedName>
    <definedName name="최종내역서" hidden="1">#REF!</definedName>
    <definedName name="최종수정" hidden="1">{#N/A,#N/A,FALSE,"지침";#N/A,#N/A,FALSE,"환경분석";#N/A,#N/A,FALSE,"Sheet16"}</definedName>
    <definedName name="최종이익가" hidden="1">{#N/A,#N/A,FALSE,"정공"}</definedName>
    <definedName name="추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추가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추가9홀2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추가참조" hidden="1">{#N/A,#N/A,FALSE,"정공"}</definedName>
    <definedName name="추진" hidden="1">{#N/A,#N/A,FALSE,"정공"}</definedName>
    <definedName name="추진전략" hidden="1">{#N/A,#N/A,FALSE,"정공"}</definedName>
    <definedName name="출력">#REF!</definedName>
    <definedName name="출발지">#REF!</definedName>
    <definedName name="출발지수급">#REF!</definedName>
    <definedName name="출시일_raw">#REF!</definedName>
    <definedName name="출시일정지연_raw">#REF!</definedName>
    <definedName name="출판" hidden="1">{#N/A,#N/A,FALSE,"지침";#N/A,#N/A,FALSE,"환경분석";#N/A,#N/A,FALSE,"Sheet16"}</definedName>
    <definedName name="충돌현상을" hidden="1">{#N/A,#N/A,FALSE,"정공"}</definedName>
    <definedName name="충전탑250">#REF!</definedName>
    <definedName name="츄젼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츠츷" hidden="1">{#N/A,#N/A,FALSE,"KMC최종회의(7월) 자료"}</definedName>
    <definedName name="ㅋ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ㅋㅋ" hidden="1">{#N/A,#N/A,TRUE,"Y생산";#N/A,#N/A,TRUE,"Y판매";#N/A,#N/A,TRUE,"Y총물량";#N/A,#N/A,TRUE,"Y능력";#N/A,#N/A,TRUE,"YKD"}</definedName>
    <definedName name="ㅋㅋㅋ">#REF!</definedName>
    <definedName name="ㅋㅋㅋㅋ" hidden="1">{#N/A,#N/A,FALSE,"Aging Summary";#N/A,#N/A,FALSE,"Ratio Analysis";#N/A,#N/A,FALSE,"Test 120 Day Accts";#N/A,#N/A,FALSE,"Tickmarks"}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스코" hidden="1">{#N/A,#N/A,FALSE,"KMC최종회의(7월) 자료"}</definedName>
    <definedName name="캐쉬" hidden="1">{#N/A,#N/A,FALSE,"지침";#N/A,#N/A,FALSE,"환경분석";#N/A,#N/A,FALSE,"Sheet16"}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ㅌㅊ퓸ㅇ" hidden="1">{#N/A,#N/A,FALSE,"지침";#N/A,#N/A,FALSE,"환경분석";#N/A,#N/A,FALSE,"Sheet16"}</definedName>
    <definedName name="ㅌㅌ" hidden="1">{#N/A,#N/A,FALSE,"KMC최종회의(7월) 자료"}</definedName>
    <definedName name="ㅌㅌㅌㅌㅌ" hidden="1">{#N/A,#N/A,FALSE,"지침";#N/A,#N/A,FALSE,"환경분석";#N/A,#N/A,FALSE,"Sheet16"}</definedName>
    <definedName name="탄소배출계수">#REF!</definedName>
    <definedName name="탈루구분">#REF!</definedName>
    <definedName name="탈루배출">#REF!</definedName>
    <definedName name="태호순">#REF!</definedName>
    <definedName name="테라">#REF!</definedName>
    <definedName name="테라전자">#REF!</definedName>
    <definedName name="테스트">#REF!</definedName>
    <definedName name="텔레컴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토공량" hidden="1">{#N/A,#N/A,FALSE,"기안지";#N/A,#N/A,FALSE,"통신지"}</definedName>
    <definedName name="토목설계" hidden="1">{#N/A,#N/A,FALSE,"골재소요량";#N/A,#N/A,FALSE,"골재소요량"}</definedName>
    <definedName name="토의자료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신비">#REF!</definedName>
    <definedName name="통합">#REF!</definedName>
    <definedName name="퇴사일">#REF!</definedName>
    <definedName name="퇴직금">#REF!</definedName>
    <definedName name="퇴직금과표">#REF!</definedName>
    <definedName name="퇴직금산출세액">#REF!</definedName>
    <definedName name="퇴직금연평균과표">#REF!</definedName>
    <definedName name="퇴직금퇴직소득공제">#REF!</definedName>
    <definedName name="퇴직금환산세액">#REF!</definedName>
    <definedName name="퇴직소득공제">#REF!</definedName>
    <definedName name="투" hidden="1">#REF!</definedName>
    <definedName name="투자CONC.182억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트트틑" hidden="1">{#N/A,#N/A,FALSE,"KMC최종회의(7월) 자료"}</definedName>
    <definedName name="특" hidden="1">{#N/A,#N/A,FALSE,"KMC최종회의(7월) 자료"}</definedName>
    <definedName name="특별손익2222">[0]!특별손익2222</definedName>
    <definedName name="특별이익손실">[0]!특별이익손실</definedName>
    <definedName name="특수">[0]!특수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티백1">#REF!</definedName>
    <definedName name="티백실">#REF!</definedName>
    <definedName name="ㅍㄹㅇ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ㅍ" hidden="1">#REF!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">#REF!</definedName>
    <definedName name="판도라상자" hidden="1">{#N/A,#N/A,FALSE,"정공"}</definedName>
    <definedName name="판매관리비" hidden="1">{#N/A,#N/A,FALSE,"지침";#N/A,#N/A,FALSE,"환경분석";#N/A,#N/A,FALSE,"Sheet16"}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펌프">#REF!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방안" hidden="1">{#N/A,#N/A,FALSE,"지침";#N/A,#N/A,FALSE,"환경분석";#N/A,#N/A,FALSE,"Sheet16"}</definedName>
    <definedName name="폐기DB">#REF!</definedName>
    <definedName name="폐기물의_처리">#REF!</definedName>
    <definedName name="폐기배출계수">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재">#REF!</definedName>
    <definedName name="포장재개발팀">#N/A</definedName>
    <definedName name="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표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표준공수" hidden="1">{#N/A,#N/A,FALSE,"KMC최종회의(7월) 자료"}</definedName>
    <definedName name="표준산업분류코드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{#N/A,#N/A,FALSE,"정공"}</definedName>
    <definedName name="표지11" hidden="1">{#N/A,#N/A,FALSE,"정공"}</definedName>
    <definedName name="표지2" hidden="1">#REF!</definedName>
    <definedName name="표지22222" hidden="1">{#N/A,#N/A,FALSE,"정공"}</definedName>
    <definedName name="품" hidden="1">{#N/A,#N/A,TRUE,"Y생산";#N/A,#N/A,TRUE,"Y판매";#N/A,#N/A,TRUE,"Y총물량";#N/A,#N/A,TRUE,"Y능력";#N/A,#N/A,TRUE,"YKD"}</definedName>
    <definedName name="품1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품관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품관1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품번구분">#REF!</definedName>
    <definedName name="품보부" hidden="1">{#N/A,#N/A,FALSE,"KMC최종회의(7월) 자료"}</definedName>
    <definedName name="품질" hidden="1">{#N/A,#N/A,FALSE,"정공"}</definedName>
    <definedName name="품질개선" hidden="1">{#N/A,#N/A,FALSE,"KMC최종회의(7월) 자료"}</definedName>
    <definedName name="품질금" hidden="1">{#N/A,#N/A,FALSE,"KMC최종회의(7월) 자료"}</definedName>
    <definedName name="품질손" hidden="1">{#N/A,#N/A,FALSE,"KMC최종회의(7월) 자료"}</definedName>
    <definedName name="품질지수" hidden="1">{#N/A,#N/A,FALSE,"KMC최종회의(7월) 자료"}</definedName>
    <definedName name="퓨젼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프프프프" hidden="1">{#N/A,#N/A,FALSE,"KMC최종회의(7월) 자료"}</definedName>
    <definedName name="ㅎ" hidden="1">{#N/A,#N/A,FALSE,"정공"}</definedName>
    <definedName name="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호ㅗㅇㅇㄹ" hidden="1">{#N/A,#N/A,FALSE,"지침";#N/A,#N/A,FALSE,"환경분석";#N/A,#N/A,FALSE,"Sheet16"}</definedName>
    <definedName name="ㅎ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ㅀ">#REF!</definedName>
    <definedName name="ㅎㅀㅁ">[0]!ㅎㅀㅁ</definedName>
    <definedName name="ㅎㅇ" hidden="1">{#N/A,#N/A,FALSE,"Aging Summary";#N/A,#N/A,FALSE,"Ratio Analysis";#N/A,#N/A,FALSE,"Test 120 Day Accts";#N/A,#N/A,FALSE,"Tickmarks"}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hidden="1">{#N/A,#N/A,TRUE,"Y생산";#N/A,#N/A,TRUE,"Y판매";#N/A,#N/A,TRUE,"Y총물량";#N/A,#N/A,TRUE,"Y능력";#N/A,#N/A,TRUE,"YKD"}</definedName>
    <definedName name="ㅎㅎㅎㅎㅎㅎㅎㅎ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하" hidden="1">{#N/A,#N/A,FALSE,"KMC최종회의(7월) 자료"}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절감액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하반기추정" hidden="1">{#N/A,#N/A,FALSE,"KMC최종회의(7월) 자료"}</definedName>
    <definedName name="하선진">#REF!</definedName>
    <definedName name="하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차">#REF!</definedName>
    <definedName name="하차소요">#REF!</definedName>
    <definedName name="하차소요시간">#REF!</definedName>
    <definedName name="하차작업조건">#REF!</definedName>
    <definedName name="학교">#REF!</definedName>
    <definedName name="한" hidden="1">{#N/A,#N/A,FALSE,"KMC최종회의(7월) 자료"}</definedName>
    <definedName name="한영사전" hidden="1">{#N/A,#N/A,TRUE,"Y생산";#N/A,#N/A,TRUE,"Y판매";#N/A,#N/A,TRUE,"Y총물량";#N/A,#N/A,TRUE,"Y능력";#N/A,#N/A,TRUE,"YKD"}</definedName>
    <definedName name="한진" hidden="1">{#N/A,#N/A,FALSE,"KMC최종회의(7월) 자료"}</definedName>
    <definedName name="한총2" hidden="1">{#N/A,#N/A,FALSE,"을지 (4)";#N/A,#N/A,FALSE,"을지 (5)";#N/A,#N/A,FALSE,"을지 (6)"}</definedName>
    <definedName name="항" hidden="1">{#N/A,#N/A,FALSE,"KMC최종회의(7월) 자료"}</definedName>
    <definedName name="항공기종1">#REF!</definedName>
    <definedName name="항공기종2">#REF!</definedName>
    <definedName name="해외관게\" hidden="1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장">#REF!</definedName>
    <definedName name="향장가동생산량">#REF!</definedName>
    <definedName name="허아" hidden="1">{#N/A,#N/A,FALSE,"정공"}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" hidden="1">{#N/A,#N/A,FALSE,"정공"}</definedName>
    <definedName name="현대우주" hidden="1">{#N/A,#N/A,FALSE,"정공"}</definedName>
    <definedName name="현대우주항공" hidden="1">{#N/A,#N/A,FALSE,"정공"}</definedName>
    <definedName name="현대자동차" hidden="1">{#N/A,#N/A,FALSE,"정공"}</definedName>
    <definedName name="현대정공" hidden="1">{#N/A,#N/A,FALSE,"정공"}</definedName>
    <definedName name="현대정공구매현황1" hidden="1">{#N/A,#N/A,FALSE,"정공"}</definedName>
    <definedName name="현황3" hidden="1">{#N/A,#N/A,FALSE,"단축1";#N/A,#N/A,FALSE,"단축2";#N/A,#N/A,FALSE,"단축3";#N/A,#N/A,FALSE,"장축";#N/A,#N/A,FALSE,"4WD"}</definedName>
    <definedName name="협회비">#REF!</definedName>
    <definedName name="형태">#REF!</definedName>
    <definedName name="호" hidden="1">{#N/A,#N/A,FALSE,"KMC최종회의(7월) 자료"}</definedName>
    <definedName name="호호호" hidden="1">{#N/A,#N/A,FALSE,"KMC최종회의(7월) 자료"}</definedName>
    <definedName name="혼입" hidden="1">{#N/A,#N/A,FALSE,"단축1";#N/A,#N/A,FALSE,"단축2";#N/A,#N/A,FALSE,"단축3";#N/A,#N/A,FALSE,"장축";#N/A,#N/A,FALSE,"4WD"}</definedName>
    <definedName name="홈엄ㄶ아믈">#REF!</definedName>
    <definedName name="화" hidden="1">{#N/A,#N/A,FALSE,"기안지";#N/A,#N/A,FALSE,"통신지"}</definedName>
    <definedName name="화물">#REF!</definedName>
    <definedName name="화물특성">#REF!</definedName>
    <definedName name="화부재">#N/A</definedName>
    <definedName name="화부재료">#N/A</definedName>
    <definedName name="화학산업">#REF!</definedName>
    <definedName name="환" hidden="1">{#N/A,#N/A,FALSE,"KMC최종회의(7월) 자료"}</definedName>
    <definedName name="환경">#REF!</definedName>
    <definedName name="환경2">#REF!</definedName>
    <definedName name="환경보존비">#REF!</definedName>
    <definedName name="환률">#REF!</definedName>
    <definedName name="환산수량수정" hidden="1">{#N/A,#N/A,FALSE,"KMC최종회의(7월) 자료"}</definedName>
    <definedName name="환율">#REF!</definedName>
    <definedName name="환율2">#REF!</definedName>
    <definedName name="활동">#REF!</definedName>
    <definedName name="활동코드">#REF!</definedName>
    <definedName name="황" hidden="1">{#N/A,#N/A,FALSE,"KMC최종회의(7월) 자료"}</definedName>
    <definedName name="회의운영" hidden="1">{#N/A,#N/A,FALSE,"KMC최종회의(7월) 자료"}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효ㅗㄹㅇ" hidden="1">{#N/A,#N/A,FALSE,"지침";#N/A,#N/A,FALSE,"환경분석";#N/A,#N/A,FALSE,"Sheet16"}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생용잡출">#REF!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ㅓㅗ" hidden="1">{#N/A,#N/A,FALSE,"지침";#N/A,#N/A,FALSE,"환경분석";#N/A,#N/A,FALSE,"Sheet16"}</definedName>
    <definedName name="흄관" hidden="1">{#N/A,#N/A,FALSE,"기안지";#N/A,#N/A,FALSE,"통신지"}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힘두삼" hidden="1">{#N/A,#N/A,FALSE,"운반시간"}</definedName>
    <definedName name="힘들고" hidden="1">{#N/A,#N/A,FALSE,"운반시간"}</definedName>
    <definedName name="ㅏ" hidden="1">{#N/A,#N/A,FALSE,"기안지";#N/A,#N/A,FALSE,"통신지"}</definedName>
    <definedName name="ㅏㅏ">#REF!</definedName>
    <definedName name="ㅏㅏㅏ" hidden="1">{#N/A,#N/A,FALSE,"단축1";#N/A,#N/A,FALSE,"단축2";#N/A,#N/A,FALSE,"단축3";#N/A,#N/A,FALSE,"장축";#N/A,#N/A,FALSE,"4WD"}</definedName>
    <definedName name="ㅏㅏㅏㅏㅏㅏ" hidden="1">{#N/A,#N/A,FALSE,"지침";#N/A,#N/A,FALSE,"환경분석";#N/A,#N/A,FALSE,"Sheet16"}</definedName>
    <definedName name="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ㅐㅐㅐ" hidden="1">{#N/A,#N/A,FALSE,"지침";#N/A,#N/A,FALSE,"환경분석";#N/A,#N/A,FALSE,"Sheet16"}</definedName>
    <definedName name="ㅐ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ㅑㅏㅅㅅㅅ" hidden="1">{#N/A,#N/A,FALSE,"지침";#N/A,#N/A,FALSE,"환경분석";#N/A,#N/A,FALSE,"Sheet16"}</definedName>
    <definedName name="ㅓ" hidden="1">{#N/A,#N/A,TRUE,"Y생산";#N/A,#N/A,TRUE,"Y판매";#N/A,#N/A,TRUE,"Y총물량";#N/A,#N/A,TRUE,"Y능력";#N/A,#N/A,TRUE,"YKD"}</definedName>
    <definedName name="ㅓ350">#REF!</definedName>
    <definedName name="ㅓㅎ" hidden="1">{#N/A,#N/A,FALSE,"정공"}</definedName>
    <definedName name="ㅓㅏㅏㅓ" hidden="1">{#N/A,#N/A,FALSE,"을지 (4)";#N/A,#N/A,FALSE,"을지 (5)";#N/A,#N/A,FALSE,"을지 (6)"}</definedName>
    <definedName name="ㅓㅏㅏㅓ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ㅓㅓㅓㅓㅓㅓ" hidden="1">{#N/A,#N/A,FALSE,"지침";#N/A,#N/A,FALSE,"환경분석";#N/A,#N/A,FALSE,"Sheet16"}</definedName>
    <definedName name="ㅔ">#REF!</definedName>
    <definedName name="ㅔㅔ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ㅔㅔㅔ" hidden="1">{#N/A,#N/A,FALSE,"단축1";#N/A,#N/A,FALSE,"단축2";#N/A,#N/A,FALSE,"단축3";#N/A,#N/A,FALSE,"장축";#N/A,#N/A,FALSE,"4WD"}</definedName>
    <definedName name="ㅕ" hidden="1">{#N/A,#N/A,FALSE,"PART-1234-8-12-9(41)";#N/A,#N/A,FALSE,"PARTS-2(3)";#N/A,#N/A,FALSE,"VAN SYSTEM";#N/A,#N/A,FALSE,"PARTS-10(26)";#N/A,#N/A,FALSE,"PART-5-6-7-11(14)";#N/A,#N/A,FALSE,"PARTS-4(3)";#N/A,#N/A,FALSE,"PCLASS"}</definedName>
    <definedName name="ㅕㅑㅓㅏ" hidden="1">{#N/A,#N/A,FALSE,"지침";#N/A,#N/A,FALSE,"환경분석";#N/A,#N/A,FALSE,"Sheet16"}</definedName>
    <definedName name="ㅕㅓㅏㅑㅐㅣ" hidden="1">{#N/A,#N/A,FALSE,"지침";#N/A,#N/A,FALSE,"환경분석";#N/A,#N/A,FALSE,"Sheet16"}</definedName>
    <definedName name="ㅕㅓㅗㅛㅅ" hidden="1">{#N/A,#N/A,FALSE,"지침";#N/A,#N/A,FALSE,"환경분석";#N/A,#N/A,FALSE,"Sheet16"}</definedName>
    <definedName name="ㅕㅕ" hidden="1">{#N/A,#N/A,FALSE,"단축1";#N/A,#N/A,FALSE,"단축2";#N/A,#N/A,FALSE,"단축3";#N/A,#N/A,FALSE,"장축";#N/A,#N/A,FALSE,"4WD"}</definedName>
    <definedName name="ㅗ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모ㅓㄴㅁ" hidden="1">{#N/A,#N/A,FALSE,"정공"}</definedName>
    <definedName name="ㅗ호ㅗ" hidden="1">{#N/A,#N/A,FALSE,"지침";#N/A,#N/A,FALSE,"환경분석";#N/A,#N/A,FALSE,"Sheet16"}</definedName>
    <definedName name="ㅗㅓㅏ">#N/A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ㅗㅓㅠㅗ" hidden="1">{#N/A,#N/A,FALSE,"KMC최종회의(7월) 자료"}</definedName>
    <definedName name="ㅗ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ㅛㅗ" hidden="1">{#N/A,#N/A,FALSE,"KMC최종회의(7월) 자료"}</definedName>
    <definedName name="ㅛㅗㅎㄹㅇ" hidden="1">{#N/A,#N/A,FALSE,"지침";#N/A,#N/A,FALSE,"환경분석";#N/A,#N/A,FALSE,"Sheet16"}</definedName>
    <definedName name="ㅛㅗㅝㅏㅣ" hidden="1">{#N/A,#N/A,FALSE,"지침";#N/A,#N/A,FALSE,"환경분석";#N/A,#N/A,FALSE,"Sheet16"}</definedName>
    <definedName name="ㅛㅗㅝㅏㅣㅐ" hidden="1">{#N/A,#N/A,FALSE,"지침";#N/A,#N/A,FALSE,"환경분석";#N/A,#N/A,FALSE,"Sheet16"}</definedName>
    <definedName name="ㅛㅛㅛ" hidden="1">{#N/A,#N/A,FALSE,"KMC최종회의(7월) 자료"}</definedName>
    <definedName name="ㅛㅛㅛㅛ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ㅜ" hidden="1">{#N/A,#N/A,FALSE,"PART-1234-8-12-9(41)";#N/A,#N/A,FALSE,"PARTS-2(3)";#N/A,#N/A,FALSE,"VAN SYSTEM";#N/A,#N/A,FALSE,"PARTS-10(26)";#N/A,#N/A,FALSE,"PART-5-6-7-11(14)";#N/A,#N/A,FALSE,"PARTS-4(3)";#N/A,#N/A,FALSE,"PCLASS"}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">#REF!</definedName>
    <definedName name="ㅜㅜㅜㅜㅜ" hidden="1">{#N/A,#N/A,FALSE,"지침";#N/A,#N/A,FALSE,"환경분석";#N/A,#N/A,FALSE,"Sheet16"}</definedName>
    <definedName name="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246545">#REF!</definedName>
    <definedName name="ㅠ249711">#REF!</definedName>
    <definedName name="ㅠ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ㅠ" hidden="1">{#N/A,#N/A,FALSE,"지침";#N/A,#N/A,FALSE,"환경분석";#N/A,#N/A,FALSE,"Sheet16"}</definedName>
    <definedName name="ㅠㅠㅠㅠ" hidden="1">{#N/A,#N/A,FALSE,"지침";#N/A,#N/A,FALSE,"환경분석";#N/A,#N/A,FALSE,"Sheet16"}</definedName>
    <definedName name="ㅠㅠㅠㅠㅠ">#REF!</definedName>
    <definedName name="ㅡ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ㅡㅡㅡ" hidden="1">{#N/A,#N/A,FALSE,"지침";#N/A,#N/A,FALSE,"환경분석";#N/A,#N/A,FALSE,"Sheet16"}</definedName>
    <definedName name="ㅣ" hidden="1">{#N/A,#N/A,FALSE,"정공"}</definedName>
    <definedName name="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2" i="1" l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C19" i="1" l="1"/>
  <c r="AB19" i="1"/>
  <c r="AA19" i="1"/>
  <c r="Z19" i="1"/>
  <c r="Y19" i="1"/>
  <c r="X19" i="1"/>
  <c r="U19" i="1"/>
  <c r="T19" i="1"/>
  <c r="S19" i="1"/>
  <c r="R19" i="1"/>
  <c r="P19" i="1"/>
  <c r="O19" i="1"/>
  <c r="N19" i="1"/>
  <c r="L19" i="1"/>
  <c r="K19" i="1"/>
  <c r="J19" i="1"/>
  <c r="I19" i="1"/>
  <c r="H19" i="1"/>
  <c r="G19" i="1"/>
  <c r="W19" i="1"/>
  <c r="V19" i="1"/>
  <c r="Q19" i="1"/>
  <c r="M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F12" i="1"/>
  <c r="G12" i="1" s="1"/>
  <c r="H12" i="1" s="1"/>
  <c r="H6" i="1" s="1"/>
  <c r="E10" i="1"/>
  <c r="E6" i="1" s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D6" i="1"/>
  <c r="C6" i="1"/>
  <c r="B6" i="1"/>
  <c r="AC5" i="1"/>
  <c r="AC14" i="1" s="1"/>
  <c r="AB5" i="1"/>
  <c r="AB14" i="1" s="1"/>
  <c r="AB33" i="1" s="1"/>
  <c r="AB34" i="1" s="1"/>
  <c r="AB35" i="1" s="1"/>
  <c r="AA5" i="1"/>
  <c r="AA14" i="1" s="1"/>
  <c r="AA33" i="1" s="1"/>
  <c r="AA34" i="1" s="1"/>
  <c r="AA35" i="1" s="1"/>
  <c r="Z5" i="1"/>
  <c r="Z14" i="1" s="1"/>
  <c r="Z33" i="1" s="1"/>
  <c r="Z34" i="1" s="1"/>
  <c r="Z35" i="1" s="1"/>
  <c r="Y5" i="1"/>
  <c r="Y14" i="1" s="1"/>
  <c r="Y33" i="1" s="1"/>
  <c r="Y34" i="1" s="1"/>
  <c r="Y35" i="1" s="1"/>
  <c r="X5" i="1"/>
  <c r="X14" i="1" s="1"/>
  <c r="X33" i="1" s="1"/>
  <c r="X34" i="1" s="1"/>
  <c r="X35" i="1" s="1"/>
  <c r="W5" i="1"/>
  <c r="W14" i="1" s="1"/>
  <c r="W33" i="1" s="1"/>
  <c r="W34" i="1" s="1"/>
  <c r="W35" i="1" s="1"/>
  <c r="V5" i="1"/>
  <c r="V14" i="1" s="1"/>
  <c r="V33" i="1" s="1"/>
  <c r="V34" i="1" s="1"/>
  <c r="V35" i="1" s="1"/>
  <c r="U5" i="1"/>
  <c r="U14" i="1" s="1"/>
  <c r="U33" i="1" s="1"/>
  <c r="U34" i="1" s="1"/>
  <c r="U35" i="1" s="1"/>
  <c r="T5" i="1"/>
  <c r="T14" i="1" s="1"/>
  <c r="T33" i="1" s="1"/>
  <c r="T34" i="1" s="1"/>
  <c r="T35" i="1" s="1"/>
  <c r="S5" i="1"/>
  <c r="S14" i="1" s="1"/>
  <c r="S33" i="1" s="1"/>
  <c r="S34" i="1" s="1"/>
  <c r="S35" i="1" s="1"/>
  <c r="R5" i="1"/>
  <c r="R14" i="1" s="1"/>
  <c r="R33" i="1" s="1"/>
  <c r="R34" i="1" s="1"/>
  <c r="R35" i="1" s="1"/>
  <c r="Q5" i="1"/>
  <c r="Q14" i="1" s="1"/>
  <c r="Q33" i="1" s="1"/>
  <c r="Q34" i="1" s="1"/>
  <c r="Q35" i="1" s="1"/>
  <c r="P5" i="1"/>
  <c r="P14" i="1" s="1"/>
  <c r="P33" i="1" s="1"/>
  <c r="P34" i="1" s="1"/>
  <c r="P35" i="1" s="1"/>
  <c r="O5" i="1"/>
  <c r="O14" i="1" s="1"/>
  <c r="O33" i="1" s="1"/>
  <c r="O34" i="1" s="1"/>
  <c r="O35" i="1" s="1"/>
  <c r="N5" i="1"/>
  <c r="N14" i="1" s="1"/>
  <c r="N33" i="1" s="1"/>
  <c r="N34" i="1" s="1"/>
  <c r="N35" i="1" s="1"/>
  <c r="M5" i="1"/>
  <c r="M14" i="1" s="1"/>
  <c r="M33" i="1" s="1"/>
  <c r="M34" i="1" s="1"/>
  <c r="M35" i="1" s="1"/>
  <c r="L5" i="1"/>
  <c r="L14" i="1" s="1"/>
  <c r="L33" i="1" s="1"/>
  <c r="L34" i="1" s="1"/>
  <c r="L35" i="1" s="1"/>
  <c r="K5" i="1"/>
  <c r="K14" i="1" s="1"/>
  <c r="K33" i="1" s="1"/>
  <c r="K34" i="1" s="1"/>
  <c r="K35" i="1" s="1"/>
  <c r="J5" i="1"/>
  <c r="J14" i="1" s="1"/>
  <c r="J33" i="1" s="1"/>
  <c r="J34" i="1" s="1"/>
  <c r="J35" i="1" s="1"/>
  <c r="I5" i="1"/>
  <c r="I14" i="1" s="1"/>
  <c r="I33" i="1" s="1"/>
  <c r="I34" i="1" s="1"/>
  <c r="I35" i="1" s="1"/>
  <c r="H5" i="1"/>
  <c r="G5" i="1"/>
  <c r="F5" i="1"/>
  <c r="E5" i="1"/>
  <c r="D5" i="1"/>
  <c r="D14" i="1" s="1"/>
  <c r="D33" i="1" s="1"/>
  <c r="D34" i="1" s="1"/>
  <c r="D35" i="1" s="1"/>
  <c r="C5" i="1"/>
  <c r="C14" i="1" s="1"/>
  <c r="C33" i="1" s="1"/>
  <c r="C34" i="1" s="1"/>
  <c r="C35" i="1" s="1"/>
  <c r="B5" i="1"/>
  <c r="B14" i="1" s="1"/>
  <c r="B33" i="1" s="1"/>
  <c r="B34" i="1" s="1"/>
  <c r="B35" i="1" s="1"/>
  <c r="AC7" i="1" l="1"/>
  <c r="AC33" i="1"/>
  <c r="AC34" i="1" s="1"/>
  <c r="AC35" i="1" s="1"/>
  <c r="F6" i="1"/>
  <c r="F14" i="1"/>
  <c r="F33" i="1" s="1"/>
  <c r="F34" i="1" s="1"/>
  <c r="F35" i="1" s="1"/>
  <c r="F22" i="1" s="1"/>
  <c r="E14" i="1"/>
  <c r="E33" i="1" s="1"/>
  <c r="E34" i="1" s="1"/>
  <c r="E35" i="1" s="1"/>
  <c r="G14" i="1"/>
  <c r="G33" i="1" s="1"/>
  <c r="G34" i="1" s="1"/>
  <c r="G35" i="1" s="1"/>
  <c r="H14" i="1"/>
  <c r="T7" i="1"/>
  <c r="T22" i="1"/>
  <c r="I7" i="1"/>
  <c r="I22" i="1"/>
  <c r="V7" i="1"/>
  <c r="V22" i="1"/>
  <c r="L22" i="1"/>
  <c r="L7" i="1"/>
  <c r="X22" i="1"/>
  <c r="X7" i="1"/>
  <c r="W7" i="1"/>
  <c r="W22" i="1"/>
  <c r="M22" i="1"/>
  <c r="M7" i="1"/>
  <c r="Y22" i="1"/>
  <c r="Y7" i="1"/>
  <c r="S7" i="1"/>
  <c r="S22" i="1"/>
  <c r="U7" i="1"/>
  <c r="U22" i="1"/>
  <c r="N7" i="1"/>
  <c r="N22" i="1"/>
  <c r="Z7" i="1"/>
  <c r="Z22" i="1"/>
  <c r="G7" i="1"/>
  <c r="G22" i="1"/>
  <c r="O7" i="1"/>
  <c r="O22" i="1"/>
  <c r="AA7" i="1"/>
  <c r="AA22" i="1"/>
  <c r="J7" i="1"/>
  <c r="J22" i="1"/>
  <c r="P7" i="1"/>
  <c r="P22" i="1"/>
  <c r="AB7" i="1"/>
  <c r="AB22" i="1"/>
  <c r="R7" i="1"/>
  <c r="R22" i="1"/>
  <c r="K7" i="1"/>
  <c r="K22" i="1"/>
  <c r="Q7" i="1"/>
  <c r="Q22" i="1"/>
  <c r="AC22" i="1"/>
  <c r="G6" i="1"/>
  <c r="H7" i="1" l="1"/>
  <c r="H33" i="1"/>
  <c r="H34" i="1" s="1"/>
  <c r="H35" i="1" s="1"/>
  <c r="H22" i="1" s="1"/>
  <c r="F7" i="1"/>
</calcChain>
</file>

<file path=xl/sharedStrings.xml><?xml version="1.0" encoding="utf-8"?>
<sst xmlns="http://schemas.openxmlformats.org/spreadsheetml/2006/main" count="133" uniqueCount="37">
  <si>
    <t>구분</t>
    <phoneticPr fontId="2" type="noConversion"/>
  </si>
  <si>
    <t>목표 배출량</t>
    <phoneticPr fontId="2" type="noConversion"/>
  </si>
  <si>
    <t>예상 배출량</t>
    <phoneticPr fontId="2" type="noConversion"/>
  </si>
  <si>
    <t>감축 필요량</t>
    <phoneticPr fontId="2" type="noConversion"/>
  </si>
  <si>
    <t>투자 감축량</t>
    <phoneticPr fontId="2" type="noConversion"/>
  </si>
  <si>
    <t>REC 감축량</t>
    <phoneticPr fontId="2" type="noConversion"/>
  </si>
  <si>
    <t>2. 온실가스 감축 수단 (단위 : 톤)</t>
    <phoneticPr fontId="2" type="noConversion"/>
  </si>
  <si>
    <t>태양광 발전소</t>
    <phoneticPr fontId="2" type="noConversion"/>
  </si>
  <si>
    <t>전기차 도입</t>
    <phoneticPr fontId="2" type="noConversion"/>
  </si>
  <si>
    <t>설비개선</t>
    <phoneticPr fontId="2" type="noConversion"/>
  </si>
  <si>
    <t>PPA 도입</t>
    <phoneticPr fontId="2" type="noConversion"/>
  </si>
  <si>
    <t>REC 구매</t>
    <phoneticPr fontId="2" type="noConversion"/>
  </si>
  <si>
    <t xml:space="preserve">3. 연도별 투자 및 감축비용 (단위 : 억원) </t>
    <phoneticPr fontId="2" type="noConversion"/>
  </si>
  <si>
    <t>태양광</t>
    <phoneticPr fontId="2" type="noConversion"/>
  </si>
  <si>
    <t>EV</t>
    <phoneticPr fontId="2" type="noConversion"/>
  </si>
  <si>
    <t>PPA</t>
    <phoneticPr fontId="2" type="noConversion"/>
  </si>
  <si>
    <t>REC</t>
    <phoneticPr fontId="2" type="noConversion"/>
  </si>
  <si>
    <t>4. 연도별 세부 내용</t>
    <phoneticPr fontId="2" type="noConversion"/>
  </si>
  <si>
    <t>온실가스</t>
    <phoneticPr fontId="2" type="noConversion"/>
  </si>
  <si>
    <t>기준년도 배출량 18,000톤
태양광 001,002 발전소 REC 미 적용</t>
    <phoneticPr fontId="2" type="noConversion"/>
  </si>
  <si>
    <t>1. 태양광 발전소 감축량 1,150톤 
 - 001,002 + 003 태양광 발전소 50% 가동</t>
    <phoneticPr fontId="2" type="noConversion"/>
  </si>
  <si>
    <t>1. 태양광 발전소 감축량 1,310톤 (001~003)
2. 설비 개선
 - 총 317톤 감축 : 유구 냉온수기 62톤(에코시안 산정), 
   유구 냉난방 105톤 (에코시안 산정), 
   물류 공기압축기 150톤(설비기술 산정)</t>
    <phoneticPr fontId="2" type="noConversion"/>
  </si>
  <si>
    <t>1. 태양광 발전소 감축량 1,740톤 (001~004)
2. 설비 개선
 - 149톤 추가 감축 : 물류 디밍센서 149톤(설비기술 산정)
3. EV 1,440대 중 20%씩 전환 (20%당 1400톤 저감)
4. PPA 700kw 계약으로 406톤 저감</t>
    <phoneticPr fontId="2" type="noConversion"/>
  </si>
  <si>
    <t>1. 태양광 발전소 감축량 1,740톤 (001~004)
2. 설비 개선
 - 116톤 추가 감축 : 물류 냉난방기 116톤 (에코시안 산정)
3. EV 1,440대 중 20%씩 전환 (20%당 1400톤 저감)
4. PPA 700kw 계약으로 406톤 저감</t>
    <phoneticPr fontId="2" type="noConversion"/>
  </si>
  <si>
    <t>1. 태양광 발전소 감축량 1,740톤 (001~004)
2. 설비 개선
 - 3년 단위 100톤씩 저감 목표
3. EV 1,440대 중 20%씩 전환 (20%당 1400톤 저감)
4. PPA 700kw 계약으로 406톤 저감</t>
    <phoneticPr fontId="2" type="noConversion"/>
  </si>
  <si>
    <t>1. 태양광 발전소 감축량 1,740톤 (001~004)
2. 설비 개선
 - 3년 단위 100톤씩 저감 목표
3. EV 전환 완료 총 7,000톤 저감
4. PPA 700kw 계약으로 406톤 저감</t>
    <phoneticPr fontId="2" type="noConversion"/>
  </si>
  <si>
    <t>투자 및 감축비용</t>
    <phoneticPr fontId="2" type="noConversion"/>
  </si>
  <si>
    <t>1. 003 태양광 발전소 건설 8억 투자
2. 설비개선 5.6억 투자</t>
    <phoneticPr fontId="2" type="noConversion"/>
  </si>
  <si>
    <t>1. 003 태양광 발전소 매년 1.2억 절감
2. 004 태양광 발전소 건설 투자 10억
3. 설비개선 1억 투자
4. REC 구매비용 발생</t>
    <phoneticPr fontId="2" type="noConversion"/>
  </si>
  <si>
    <t>1. 003 태양광 발전소 매년 1.2억 절감
2. 004 태양광 발전소 매년 1.6억 절감
3. 설비개선 0.5억 투자
4. EV 매년 4.3억 절감 (20%씩 전환 추진)
5. REC 구매비용 발생</t>
    <phoneticPr fontId="2" type="noConversion"/>
  </si>
  <si>
    <t>1. 003,004 태양광 발전소 매년 2.8억 절감
2. 설비개선 3년마다 1억 투자
3. EV 매년 21.6억 절감
4. REC 구매비용 발생</t>
    <phoneticPr fontId="2" type="noConversion"/>
  </si>
  <si>
    <r>
      <t xml:space="preserve">1. 목표 배출량 : </t>
    </r>
    <r>
      <rPr>
        <sz val="11"/>
        <color theme="1"/>
        <rFont val="맑은 고딕"/>
        <family val="3"/>
        <charset val="129"/>
        <scheme val="minor"/>
      </rPr>
      <t>기준년도(2023년) 배출량 18,000톤 대비, 2033년 50% 저감 및 2050년 넷제로 달성 목표 위한 선형적 저감 적용 (SBTi 권고율 연 4.2%이상 적용)</t>
    </r>
    <r>
      <rPr>
        <b/>
        <sz val="11"/>
        <color theme="1"/>
        <rFont val="맑은 고딕"/>
        <family val="3"/>
        <charset val="129"/>
        <scheme val="minor"/>
      </rPr>
      <t xml:space="preserve">
2. 예상 배출량 : </t>
    </r>
    <r>
      <rPr>
        <sz val="11"/>
        <color theme="1"/>
        <rFont val="맑은 고딕"/>
        <family val="3"/>
        <charset val="129"/>
        <scheme val="minor"/>
      </rPr>
      <t>2025년 이후 생산량 증대로 인해 매년 20,000톤 배출 가정</t>
    </r>
    <r>
      <rPr>
        <b/>
        <sz val="11"/>
        <color theme="1"/>
        <rFont val="맑은 고딕"/>
        <family val="3"/>
        <charset val="129"/>
        <scheme val="minor"/>
      </rPr>
      <t xml:space="preserve">
3. 감축 필요량 :</t>
    </r>
    <r>
      <rPr>
        <sz val="11"/>
        <color theme="1"/>
        <rFont val="맑은 고딕"/>
        <family val="3"/>
        <charset val="129"/>
        <scheme val="minor"/>
      </rPr>
      <t xml:space="preserve"> 예상 배출량 - 목표 배출량</t>
    </r>
    <r>
      <rPr>
        <b/>
        <sz val="11"/>
        <color theme="1"/>
        <rFont val="맑은 고딕"/>
        <family val="3"/>
        <charset val="129"/>
        <scheme val="minor"/>
      </rPr>
      <t xml:space="preserve">
4. 투자 감축량 : </t>
    </r>
    <r>
      <rPr>
        <sz val="11"/>
        <color theme="1"/>
        <rFont val="맑은 고딕"/>
        <family val="3"/>
        <charset val="129"/>
        <scheme val="minor"/>
      </rPr>
      <t>태양광, EV, 설비개선, PPA 투자를 통한 온실가스 감축량</t>
    </r>
    <r>
      <rPr>
        <b/>
        <sz val="11"/>
        <color theme="1"/>
        <rFont val="맑은 고딕"/>
        <family val="3"/>
        <charset val="129"/>
        <scheme val="minor"/>
      </rPr>
      <t xml:space="preserve">
5. REC 감축량 :</t>
    </r>
    <r>
      <rPr>
        <sz val="11"/>
        <color theme="1"/>
        <rFont val="맑은 고딕"/>
        <family val="3"/>
        <charset val="129"/>
        <scheme val="minor"/>
      </rPr>
      <t xml:space="preserve"> 투자 감축량 제외한 나머지 감축 필요량 (REC 구매를 통한 온실가스 감축량)</t>
    </r>
    <phoneticPr fontId="2" type="noConversion"/>
  </si>
  <si>
    <r>
      <t xml:space="preserve">1. 태양광 : </t>
    </r>
    <r>
      <rPr>
        <sz val="11"/>
        <color theme="1"/>
        <rFont val="맑은 고딕"/>
        <family val="3"/>
        <charset val="129"/>
        <scheme val="minor"/>
      </rPr>
      <t>001 (555톤), 002 (435톤), 003 (320톤), 004 (430톤)</t>
    </r>
    <r>
      <rPr>
        <b/>
        <sz val="11"/>
        <color theme="1"/>
        <rFont val="맑은 고딕"/>
        <family val="3"/>
        <charset val="129"/>
        <scheme val="minor"/>
      </rPr>
      <t xml:space="preserve">
2. EV : </t>
    </r>
    <r>
      <rPr>
        <sz val="11"/>
        <color theme="1"/>
        <rFont val="맑은 고딕"/>
        <family val="3"/>
        <charset val="129"/>
        <scheme val="minor"/>
      </rPr>
      <t>28년 이후 총 1,440대를 매년 20%씩 전환, 총 7,000톤 저감 (매년 1,400톤 저감)</t>
    </r>
    <r>
      <rPr>
        <b/>
        <sz val="11"/>
        <color theme="1"/>
        <rFont val="맑은 고딕"/>
        <family val="3"/>
        <charset val="129"/>
        <scheme val="minor"/>
      </rPr>
      <t xml:space="preserve">
3. 설비개선 
  1) 26년 : </t>
    </r>
    <r>
      <rPr>
        <sz val="11"/>
        <color theme="1"/>
        <rFont val="맑은 고딕"/>
        <family val="3"/>
        <charset val="129"/>
        <scheme val="minor"/>
      </rPr>
      <t>총 317톤 감축 - 유구 냉온수기 62톤(에코시안 산정), 유구 냉난방 105톤 (에코시안 산정), 물류 공기압축기 150톤(설비기술 산정)</t>
    </r>
    <r>
      <rPr>
        <b/>
        <sz val="11"/>
        <color theme="1"/>
        <rFont val="맑은 고딕"/>
        <family val="3"/>
        <charset val="129"/>
        <scheme val="minor"/>
      </rPr>
      <t xml:space="preserve">
  2) 27년 : </t>
    </r>
    <r>
      <rPr>
        <sz val="11"/>
        <color theme="1"/>
        <rFont val="맑은 고딕"/>
        <family val="3"/>
        <charset val="129"/>
        <scheme val="minor"/>
      </rPr>
      <t>물류 디밍센서 149톤(설비기술 산정)</t>
    </r>
    <r>
      <rPr>
        <b/>
        <sz val="11"/>
        <color theme="1"/>
        <rFont val="맑은 고딕"/>
        <family val="3"/>
        <charset val="129"/>
        <scheme val="minor"/>
      </rPr>
      <t xml:space="preserve">
  3) 28년 : </t>
    </r>
    <r>
      <rPr>
        <sz val="11"/>
        <color theme="1"/>
        <rFont val="맑은 고딕"/>
        <family val="3"/>
        <charset val="129"/>
        <scheme val="minor"/>
      </rPr>
      <t>물류 냉난방기 116톤 (에코시안 산정)</t>
    </r>
    <r>
      <rPr>
        <b/>
        <sz val="11"/>
        <color theme="1"/>
        <rFont val="맑은 고딕"/>
        <family val="3"/>
        <charset val="129"/>
        <scheme val="minor"/>
      </rPr>
      <t xml:space="preserve">
  4) 29년~ : </t>
    </r>
    <r>
      <rPr>
        <sz val="11"/>
        <color theme="1"/>
        <rFont val="맑은 고딕"/>
        <family val="3"/>
        <charset val="129"/>
        <scheme val="minor"/>
      </rPr>
      <t>3년에 100톤 저감 목표</t>
    </r>
    <r>
      <rPr>
        <b/>
        <sz val="11"/>
        <color theme="1"/>
        <rFont val="맑은 고딕"/>
        <family val="3"/>
        <charset val="129"/>
        <scheme val="minor"/>
      </rPr>
      <t xml:space="preserve">
4. PPA : </t>
    </r>
    <r>
      <rPr>
        <sz val="11"/>
        <color theme="1"/>
        <rFont val="맑은 고딕"/>
        <family val="3"/>
        <charset val="129"/>
        <scheme val="minor"/>
      </rPr>
      <t>총 700 kw (신성이엔지 산정값 기준), 총 406톤 저감</t>
    </r>
    <r>
      <rPr>
        <b/>
        <sz val="11"/>
        <color theme="1"/>
        <rFont val="맑은 고딕"/>
        <family val="3"/>
        <charset val="129"/>
        <scheme val="minor"/>
      </rPr>
      <t xml:space="preserve">
5. REC : </t>
    </r>
    <r>
      <rPr>
        <sz val="11"/>
        <color theme="1"/>
        <rFont val="맑은 고딕"/>
        <family val="3"/>
        <charset val="129"/>
        <scheme val="minor"/>
      </rPr>
      <t>상기 4개 저감수단 적용 후 최종 REC 구매비용 및 온실가스 감축량 산정</t>
    </r>
    <phoneticPr fontId="2" type="noConversion"/>
  </si>
  <si>
    <t>1. 넷제로 로드맵 (단위 : 톤)</t>
    <phoneticPr fontId="2" type="noConversion"/>
  </si>
  <si>
    <t>세부내용</t>
    <phoneticPr fontId="2" type="noConversion"/>
  </si>
  <si>
    <t>4. 용어 정의</t>
    <phoneticPr fontId="2" type="noConversion"/>
  </si>
  <si>
    <t>5. 넷제로 산정 로직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</si>
</sst>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7" formatCode="_-* #,##0.0_-;\-* #,##0.0_-;_-* &quot;-&quot;_-;_-@_-"/>
    <numFmt numFmtId="178" formatCode="_-* #,##0.00_-;\-* #,##0.00_-;_-* &quot;-&quot;_-;_-@_-"/>
    <numFmt numFmtId="179" formatCode="_-* #,##0_-;\-* #,##0_-;_-* &quot;-&quot;??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41" fontId="3" fillId="0" borderId="0" xfId="1" applyFont="1" applyFill="1" applyBorder="1" applyAlignment="1">
      <alignment horizontal="right" vertical="center"/>
    </xf>
    <xf numFmtId="177" fontId="3" fillId="0" borderId="1" xfId="1" applyNumberFormat="1" applyFont="1" applyBorder="1" applyAlignment="1">
      <alignment horizontal="right" vertical="center"/>
    </xf>
    <xf numFmtId="41" fontId="3" fillId="0" borderId="1" xfId="1" applyFont="1" applyFill="1" applyBorder="1" applyAlignment="1" applyProtection="1">
      <alignment horizontal="center" vertical="center"/>
      <protection locked="0"/>
    </xf>
    <xf numFmtId="177" fontId="3" fillId="0" borderId="1" xfId="1" applyNumberFormat="1" applyFont="1" applyFill="1" applyBorder="1" applyAlignment="1" applyProtection="1">
      <alignment horizontal="center" vertical="center"/>
      <protection locked="0"/>
    </xf>
    <xf numFmtId="177" fontId="3" fillId="0" borderId="1" xfId="1" applyNumberFormat="1" applyFont="1" applyFill="1" applyBorder="1" applyAlignment="1" applyProtection="1">
      <alignment horizontal="right" vertical="center"/>
      <protection locked="0"/>
    </xf>
    <xf numFmtId="41" fontId="3" fillId="0" borderId="1" xfId="1" applyFont="1" applyFill="1" applyBorder="1" applyAlignment="1" applyProtection="1">
      <alignment horizontal="right" vertical="center"/>
      <protection locked="0"/>
    </xf>
    <xf numFmtId="178" fontId="3" fillId="0" borderId="1" xfId="1" applyNumberFormat="1" applyFont="1" applyFill="1" applyBorder="1" applyAlignment="1" applyProtection="1">
      <alignment horizontal="center" vertical="center"/>
      <protection locked="0"/>
    </xf>
    <xf numFmtId="177" fontId="3" fillId="0" borderId="0" xfId="1" applyNumberFormat="1" applyFont="1" applyFill="1" applyBorder="1" applyAlignment="1" applyProtection="1">
      <alignment horizontal="center" vertical="center"/>
      <protection locked="0"/>
    </xf>
    <xf numFmtId="0" fontId="3" fillId="0" borderId="1" xfId="1" applyNumberFormat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/>
    </xf>
    <xf numFmtId="178" fontId="3" fillId="0" borderId="0" xfId="1" applyNumberFormat="1" applyFont="1" applyFill="1" applyBorder="1" applyAlignment="1" applyProtection="1">
      <alignment horizontal="center" vertical="center"/>
      <protection locked="0"/>
    </xf>
    <xf numFmtId="41" fontId="3" fillId="0" borderId="0" xfId="1" applyFont="1" applyFill="1" applyBorder="1" applyAlignment="1" applyProtection="1">
      <alignment horizontal="center" vertical="center"/>
      <protection locked="0"/>
    </xf>
    <xf numFmtId="41" fontId="3" fillId="0" borderId="0" xfId="1" applyFont="1" applyFill="1" applyBorder="1" applyAlignment="1" applyProtection="1">
      <alignment horizontal="right" vertical="center"/>
      <protection locked="0"/>
    </xf>
    <xf numFmtId="179" fontId="3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1D15-4F86-4398-B7C9-DA53655194E8}">
  <sheetPr>
    <tabColor rgb="FFFF0000"/>
  </sheetPr>
  <dimension ref="A1:AC42"/>
  <sheetViews>
    <sheetView showGridLines="0" tabSelected="1" zoomScale="85" zoomScaleNormal="85" workbookViewId="0">
      <selection activeCell="H12" sqref="H12"/>
    </sheetView>
  </sheetViews>
  <sheetFormatPr defaultRowHeight="13.5" x14ac:dyDescent="0.3"/>
  <cols>
    <col min="1" max="1" width="19.25" style="1" customWidth="1"/>
    <col min="2" max="29" width="10.75" style="1" customWidth="1"/>
    <col min="30" max="32" width="6.875" style="1" customWidth="1"/>
    <col min="33" max="16384" width="9" style="1"/>
  </cols>
  <sheetData>
    <row r="1" spans="1:29" ht="24" customHeight="1" x14ac:dyDescent="0.3">
      <c r="A1" s="2" t="s">
        <v>33</v>
      </c>
    </row>
    <row r="2" spans="1:29" ht="24" customHeight="1" x14ac:dyDescent="0.3">
      <c r="A2" s="21" t="s">
        <v>0</v>
      </c>
      <c r="B2" s="3">
        <v>2023</v>
      </c>
      <c r="C2" s="3">
        <v>2024</v>
      </c>
      <c r="D2" s="3">
        <v>2025</v>
      </c>
      <c r="E2" s="3">
        <v>2026</v>
      </c>
      <c r="F2" s="3">
        <v>2027</v>
      </c>
      <c r="G2" s="3">
        <v>2028</v>
      </c>
      <c r="H2" s="3">
        <v>2029</v>
      </c>
      <c r="I2" s="3">
        <v>2030</v>
      </c>
      <c r="J2" s="3">
        <v>2031</v>
      </c>
      <c r="K2" s="3">
        <v>2032</v>
      </c>
      <c r="L2" s="3">
        <v>2033</v>
      </c>
      <c r="M2" s="3">
        <v>2034</v>
      </c>
      <c r="N2" s="3">
        <v>2035</v>
      </c>
      <c r="O2" s="3">
        <v>2036</v>
      </c>
      <c r="P2" s="3">
        <v>2037</v>
      </c>
      <c r="Q2" s="3">
        <v>2038</v>
      </c>
      <c r="R2" s="3">
        <v>2039</v>
      </c>
      <c r="S2" s="3">
        <v>2040</v>
      </c>
      <c r="T2" s="3">
        <v>2041</v>
      </c>
      <c r="U2" s="3">
        <v>2042</v>
      </c>
      <c r="V2" s="3">
        <v>2043</v>
      </c>
      <c r="W2" s="3">
        <v>2044</v>
      </c>
      <c r="X2" s="3">
        <v>2045</v>
      </c>
      <c r="Y2" s="3">
        <v>2046</v>
      </c>
      <c r="Z2" s="3">
        <v>2047</v>
      </c>
      <c r="AA2" s="3">
        <v>2048</v>
      </c>
      <c r="AB2" s="3">
        <v>2049</v>
      </c>
      <c r="AC2" s="3">
        <v>2050</v>
      </c>
    </row>
    <row r="3" spans="1:29" ht="24" customHeight="1" x14ac:dyDescent="0.3">
      <c r="A3" s="23" t="s">
        <v>1</v>
      </c>
      <c r="B3" s="4">
        <v>18000</v>
      </c>
      <c r="C3" s="4">
        <v>17138.763800000001</v>
      </c>
      <c r="D3" s="4">
        <v>16236.723599999998</v>
      </c>
      <c r="E3" s="4">
        <v>15334.683399999998</v>
      </c>
      <c r="F3" s="4">
        <v>14432.643199999999</v>
      </c>
      <c r="G3" s="4">
        <v>13530.602999999997</v>
      </c>
      <c r="H3" s="4">
        <v>12628.562799999998</v>
      </c>
      <c r="I3" s="4">
        <v>11726.522599999998</v>
      </c>
      <c r="J3" s="4">
        <v>10824.482399999999</v>
      </c>
      <c r="K3" s="4">
        <v>9922.4421999999977</v>
      </c>
      <c r="L3" s="4">
        <v>9000</v>
      </c>
      <c r="M3" s="4">
        <v>7746.5470623996944</v>
      </c>
      <c r="N3" s="4">
        <v>7542.8175369232713</v>
      </c>
      <c r="O3" s="4">
        <v>7339.0880114468455</v>
      </c>
      <c r="P3" s="4">
        <v>6827.0184622324214</v>
      </c>
      <c r="Q3" s="4">
        <v>6314.9489130179973</v>
      </c>
      <c r="R3" s="4">
        <v>5802.879363803575</v>
      </c>
      <c r="S3" s="4">
        <v>5290.8098145891518</v>
      </c>
      <c r="T3" s="4">
        <v>4778.7402653747276</v>
      </c>
      <c r="U3" s="4">
        <v>4266.6707161603017</v>
      </c>
      <c r="V3" s="4">
        <v>3754.6011669458776</v>
      </c>
      <c r="W3" s="4">
        <v>3200</v>
      </c>
      <c r="X3" s="4">
        <v>3000</v>
      </c>
      <c r="Y3" s="4">
        <v>2800</v>
      </c>
      <c r="Z3" s="4">
        <v>2400</v>
      </c>
      <c r="AA3" s="4">
        <v>1600</v>
      </c>
      <c r="AB3" s="4">
        <v>800</v>
      </c>
      <c r="AC3" s="4">
        <v>0</v>
      </c>
    </row>
    <row r="4" spans="1:29" ht="24" customHeight="1" x14ac:dyDescent="0.3">
      <c r="A4" s="23" t="s">
        <v>2</v>
      </c>
      <c r="B4" s="4">
        <v>18041</v>
      </c>
      <c r="C4" s="4">
        <v>17811</v>
      </c>
      <c r="D4" s="4">
        <v>20000</v>
      </c>
      <c r="E4" s="4">
        <v>20000</v>
      </c>
      <c r="F4" s="4">
        <v>20000</v>
      </c>
      <c r="G4" s="4">
        <v>20000</v>
      </c>
      <c r="H4" s="4">
        <v>20000</v>
      </c>
      <c r="I4" s="4">
        <v>20000</v>
      </c>
      <c r="J4" s="4">
        <v>20000</v>
      </c>
      <c r="K4" s="4">
        <v>20000</v>
      </c>
      <c r="L4" s="4">
        <v>20000</v>
      </c>
      <c r="M4" s="4">
        <v>20000</v>
      </c>
      <c r="N4" s="4">
        <v>20000</v>
      </c>
      <c r="O4" s="4">
        <v>20000</v>
      </c>
      <c r="P4" s="4">
        <v>20000</v>
      </c>
      <c r="Q4" s="4">
        <v>20000</v>
      </c>
      <c r="R4" s="4">
        <v>20000</v>
      </c>
      <c r="S4" s="4">
        <v>20000</v>
      </c>
      <c r="T4" s="4">
        <v>20000</v>
      </c>
      <c r="U4" s="4">
        <v>20000</v>
      </c>
      <c r="V4" s="4">
        <v>20000</v>
      </c>
      <c r="W4" s="4">
        <v>20000</v>
      </c>
      <c r="X4" s="4">
        <v>20000</v>
      </c>
      <c r="Y4" s="4">
        <v>20000</v>
      </c>
      <c r="Z4" s="4">
        <v>20000</v>
      </c>
      <c r="AA4" s="4">
        <v>20000</v>
      </c>
      <c r="AB4" s="4">
        <v>20000</v>
      </c>
      <c r="AC4" s="4">
        <v>20000</v>
      </c>
    </row>
    <row r="5" spans="1:29" ht="24" customHeight="1" x14ac:dyDescent="0.3">
      <c r="A5" s="23" t="s">
        <v>3</v>
      </c>
      <c r="B5" s="4">
        <f t="shared" ref="B5:AC5" si="0">B4-B3</f>
        <v>41</v>
      </c>
      <c r="C5" s="4">
        <f t="shared" si="0"/>
        <v>672.23619999999937</v>
      </c>
      <c r="D5" s="4">
        <f t="shared" si="0"/>
        <v>3763.2764000000025</v>
      </c>
      <c r="E5" s="4">
        <f t="shared" si="0"/>
        <v>4665.3166000000019</v>
      </c>
      <c r="F5" s="4">
        <f t="shared" si="0"/>
        <v>5567.3568000000014</v>
      </c>
      <c r="G5" s="4">
        <f t="shared" si="0"/>
        <v>6469.3970000000027</v>
      </c>
      <c r="H5" s="4">
        <f t="shared" si="0"/>
        <v>7371.4372000000021</v>
      </c>
      <c r="I5" s="4">
        <f t="shared" si="0"/>
        <v>8273.4774000000016</v>
      </c>
      <c r="J5" s="4">
        <f t="shared" si="0"/>
        <v>9175.517600000001</v>
      </c>
      <c r="K5" s="4">
        <f t="shared" si="0"/>
        <v>10077.557800000002</v>
      </c>
      <c r="L5" s="4">
        <f t="shared" si="0"/>
        <v>11000</v>
      </c>
      <c r="M5" s="4">
        <f t="shared" si="0"/>
        <v>12253.452937600305</v>
      </c>
      <c r="N5" s="4">
        <f t="shared" si="0"/>
        <v>12457.18246307673</v>
      </c>
      <c r="O5" s="4">
        <f t="shared" si="0"/>
        <v>12660.911988553155</v>
      </c>
      <c r="P5" s="4">
        <f t="shared" si="0"/>
        <v>13172.981537767579</v>
      </c>
      <c r="Q5" s="4">
        <f t="shared" si="0"/>
        <v>13685.051086982003</v>
      </c>
      <c r="R5" s="4">
        <f t="shared" si="0"/>
        <v>14197.120636196425</v>
      </c>
      <c r="S5" s="4">
        <f t="shared" si="0"/>
        <v>14709.190185410847</v>
      </c>
      <c r="T5" s="4">
        <f t="shared" si="0"/>
        <v>15221.259734625273</v>
      </c>
      <c r="U5" s="4">
        <f t="shared" si="0"/>
        <v>15733.329283839699</v>
      </c>
      <c r="V5" s="4">
        <f t="shared" si="0"/>
        <v>16245.398833054121</v>
      </c>
      <c r="W5" s="4">
        <f t="shared" si="0"/>
        <v>16800</v>
      </c>
      <c r="X5" s="4">
        <f t="shared" si="0"/>
        <v>17000</v>
      </c>
      <c r="Y5" s="4">
        <f t="shared" si="0"/>
        <v>17200</v>
      </c>
      <c r="Z5" s="4">
        <f t="shared" si="0"/>
        <v>17600</v>
      </c>
      <c r="AA5" s="4">
        <f t="shared" si="0"/>
        <v>18400</v>
      </c>
      <c r="AB5" s="4">
        <f t="shared" si="0"/>
        <v>19200</v>
      </c>
      <c r="AC5" s="4">
        <f t="shared" si="0"/>
        <v>20000</v>
      </c>
    </row>
    <row r="6" spans="1:29" ht="24" customHeight="1" x14ac:dyDescent="0.3">
      <c r="A6" s="23" t="s">
        <v>4</v>
      </c>
      <c r="B6" s="4">
        <f>SUM(B10:B13)</f>
        <v>0</v>
      </c>
      <c r="C6" s="4">
        <f t="shared" ref="C6:AC6" si="1">SUM(C10:C13)</f>
        <v>0</v>
      </c>
      <c r="D6" s="4">
        <f t="shared" si="1"/>
        <v>0</v>
      </c>
      <c r="E6" s="4">
        <f t="shared" si="1"/>
        <v>1150</v>
      </c>
      <c r="F6" s="4">
        <f t="shared" si="1"/>
        <v>1627</v>
      </c>
      <c r="G6" s="4">
        <f t="shared" si="1"/>
        <v>4012</v>
      </c>
      <c r="H6" s="4">
        <f t="shared" si="1"/>
        <v>5528</v>
      </c>
      <c r="I6" s="4">
        <f t="shared" si="1"/>
        <v>6928</v>
      </c>
      <c r="J6" s="4">
        <f t="shared" si="1"/>
        <v>8328</v>
      </c>
      <c r="K6" s="4">
        <f t="shared" si="1"/>
        <v>9846</v>
      </c>
      <c r="L6" s="4">
        <f t="shared" si="1"/>
        <v>9846</v>
      </c>
      <c r="M6" s="4">
        <f t="shared" si="1"/>
        <v>9846</v>
      </c>
      <c r="N6" s="4">
        <f t="shared" si="1"/>
        <v>9946</v>
      </c>
      <c r="O6" s="4">
        <f t="shared" si="1"/>
        <v>9946</v>
      </c>
      <c r="P6" s="4">
        <f t="shared" si="1"/>
        <v>9946</v>
      </c>
      <c r="Q6" s="4">
        <f t="shared" si="1"/>
        <v>10046</v>
      </c>
      <c r="R6" s="4">
        <f t="shared" si="1"/>
        <v>10046</v>
      </c>
      <c r="S6" s="4">
        <f t="shared" si="1"/>
        <v>10046</v>
      </c>
      <c r="T6" s="4">
        <f t="shared" si="1"/>
        <v>10146</v>
      </c>
      <c r="U6" s="4">
        <f t="shared" si="1"/>
        <v>10146</v>
      </c>
      <c r="V6" s="4">
        <f t="shared" si="1"/>
        <v>10146</v>
      </c>
      <c r="W6" s="4">
        <f t="shared" si="1"/>
        <v>10246</v>
      </c>
      <c r="X6" s="4">
        <f t="shared" si="1"/>
        <v>10246</v>
      </c>
      <c r="Y6" s="4">
        <f t="shared" si="1"/>
        <v>10246</v>
      </c>
      <c r="Z6" s="4">
        <f t="shared" si="1"/>
        <v>10346</v>
      </c>
      <c r="AA6" s="4">
        <f t="shared" si="1"/>
        <v>10346</v>
      </c>
      <c r="AB6" s="4">
        <f t="shared" si="1"/>
        <v>10346</v>
      </c>
      <c r="AC6" s="4">
        <f t="shared" si="1"/>
        <v>10446</v>
      </c>
    </row>
    <row r="7" spans="1:29" ht="24" customHeight="1" x14ac:dyDescent="0.3">
      <c r="A7" s="23" t="s">
        <v>5</v>
      </c>
      <c r="B7" s="4"/>
      <c r="C7" s="4"/>
      <c r="D7" s="4"/>
      <c r="E7" s="4"/>
      <c r="F7" s="4">
        <f t="shared" ref="F7:AC7" si="2">F14</f>
        <v>3940.3568000000014</v>
      </c>
      <c r="G7" s="4">
        <f t="shared" si="2"/>
        <v>2457.3970000000027</v>
      </c>
      <c r="H7" s="4">
        <f t="shared" si="2"/>
        <v>1843.4372000000021</v>
      </c>
      <c r="I7" s="4">
        <f t="shared" si="2"/>
        <v>1345.4774000000016</v>
      </c>
      <c r="J7" s="4">
        <f t="shared" si="2"/>
        <v>847.51760000000104</v>
      </c>
      <c r="K7" s="4">
        <f t="shared" si="2"/>
        <v>231.55780000000232</v>
      </c>
      <c r="L7" s="4">
        <f t="shared" si="2"/>
        <v>1154</v>
      </c>
      <c r="M7" s="4">
        <f t="shared" si="2"/>
        <v>2407.4529376003047</v>
      </c>
      <c r="N7" s="4">
        <f t="shared" si="2"/>
        <v>2511.1824630767296</v>
      </c>
      <c r="O7" s="4">
        <f t="shared" si="2"/>
        <v>2714.9119885531545</v>
      </c>
      <c r="P7" s="4">
        <f t="shared" si="2"/>
        <v>3226.9815377675786</v>
      </c>
      <c r="Q7" s="4">
        <f t="shared" si="2"/>
        <v>3639.0510869820027</v>
      </c>
      <c r="R7" s="4">
        <f t="shared" si="2"/>
        <v>4151.120636196425</v>
      </c>
      <c r="S7" s="4">
        <f t="shared" si="2"/>
        <v>4663.1901854108473</v>
      </c>
      <c r="T7" s="4">
        <f t="shared" si="2"/>
        <v>5075.2597346252733</v>
      </c>
      <c r="U7" s="4">
        <f t="shared" si="2"/>
        <v>5587.3292838396992</v>
      </c>
      <c r="V7" s="4">
        <f t="shared" si="2"/>
        <v>6099.3988330541215</v>
      </c>
      <c r="W7" s="4">
        <f t="shared" si="2"/>
        <v>6554</v>
      </c>
      <c r="X7" s="4">
        <f t="shared" si="2"/>
        <v>6754</v>
      </c>
      <c r="Y7" s="4">
        <f t="shared" si="2"/>
        <v>6954</v>
      </c>
      <c r="Z7" s="4">
        <f t="shared" si="2"/>
        <v>7254</v>
      </c>
      <c r="AA7" s="4">
        <f t="shared" si="2"/>
        <v>8054</v>
      </c>
      <c r="AB7" s="4">
        <f t="shared" si="2"/>
        <v>8854</v>
      </c>
      <c r="AC7" s="4">
        <f t="shared" si="2"/>
        <v>9554</v>
      </c>
    </row>
    <row r="8" spans="1:29" ht="24" customHeight="1" x14ac:dyDescent="0.3">
      <c r="A8" s="2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24" customHeight="1" x14ac:dyDescent="0.3">
      <c r="A9" s="21" t="s">
        <v>0</v>
      </c>
      <c r="B9" s="3">
        <v>2023</v>
      </c>
      <c r="C9" s="3">
        <v>2024</v>
      </c>
      <c r="D9" s="3">
        <v>2025</v>
      </c>
      <c r="E9" s="3">
        <v>2026</v>
      </c>
      <c r="F9" s="3">
        <v>2027</v>
      </c>
      <c r="G9" s="3">
        <v>2028</v>
      </c>
      <c r="H9" s="3">
        <v>2029</v>
      </c>
      <c r="I9" s="3">
        <v>2030</v>
      </c>
      <c r="J9" s="3">
        <v>2031</v>
      </c>
      <c r="K9" s="3">
        <v>2032</v>
      </c>
      <c r="L9" s="3">
        <v>2033</v>
      </c>
      <c r="M9" s="3">
        <v>2034</v>
      </c>
      <c r="N9" s="3">
        <v>2035</v>
      </c>
      <c r="O9" s="3">
        <v>2036</v>
      </c>
      <c r="P9" s="3">
        <v>2037</v>
      </c>
      <c r="Q9" s="3">
        <v>2038</v>
      </c>
      <c r="R9" s="3">
        <v>2039</v>
      </c>
      <c r="S9" s="3">
        <v>2040</v>
      </c>
      <c r="T9" s="3">
        <v>2041</v>
      </c>
      <c r="U9" s="3">
        <v>2042</v>
      </c>
      <c r="V9" s="3">
        <v>2043</v>
      </c>
      <c r="W9" s="3">
        <v>2044</v>
      </c>
      <c r="X9" s="3">
        <v>2045</v>
      </c>
      <c r="Y9" s="3">
        <v>2046</v>
      </c>
      <c r="Z9" s="3">
        <v>2047</v>
      </c>
      <c r="AA9" s="3">
        <v>2048</v>
      </c>
      <c r="AB9" s="3">
        <v>2049</v>
      </c>
      <c r="AC9" s="3">
        <v>2050</v>
      </c>
    </row>
    <row r="10" spans="1:29" ht="24" customHeight="1" x14ac:dyDescent="0.3">
      <c r="A10" s="23" t="s">
        <v>7</v>
      </c>
      <c r="B10" s="4"/>
      <c r="C10" s="4"/>
      <c r="D10" s="4"/>
      <c r="E10" s="4">
        <f>990+160</f>
        <v>1150</v>
      </c>
      <c r="F10" s="4">
        <v>1310</v>
      </c>
      <c r="G10" s="4">
        <v>1740</v>
      </c>
      <c r="H10" s="4">
        <v>1740</v>
      </c>
      <c r="I10" s="4">
        <v>1740</v>
      </c>
      <c r="J10" s="4">
        <v>1740</v>
      </c>
      <c r="K10" s="4">
        <v>1740</v>
      </c>
      <c r="L10" s="4">
        <v>1740</v>
      </c>
      <c r="M10" s="4">
        <v>1740</v>
      </c>
      <c r="N10" s="4">
        <v>1740</v>
      </c>
      <c r="O10" s="4">
        <v>1740</v>
      </c>
      <c r="P10" s="4">
        <v>1740</v>
      </c>
      <c r="Q10" s="4">
        <v>1740</v>
      </c>
      <c r="R10" s="4">
        <v>1740</v>
      </c>
      <c r="S10" s="4">
        <v>1740</v>
      </c>
      <c r="T10" s="4">
        <v>1740</v>
      </c>
      <c r="U10" s="4">
        <v>1740</v>
      </c>
      <c r="V10" s="4">
        <v>1740</v>
      </c>
      <c r="W10" s="4">
        <v>1740</v>
      </c>
      <c r="X10" s="4">
        <v>1740</v>
      </c>
      <c r="Y10" s="4">
        <v>1740</v>
      </c>
      <c r="Z10" s="4">
        <v>1740</v>
      </c>
      <c r="AA10" s="4">
        <v>1740</v>
      </c>
      <c r="AB10" s="4">
        <v>1740</v>
      </c>
      <c r="AC10" s="4">
        <v>1740</v>
      </c>
    </row>
    <row r="11" spans="1:29" ht="24" customHeight="1" x14ac:dyDescent="0.3">
      <c r="A11" s="23" t="s">
        <v>8</v>
      </c>
      <c r="B11" s="4"/>
      <c r="C11" s="4"/>
      <c r="D11" s="4"/>
      <c r="E11" s="4"/>
      <c r="F11" s="4"/>
      <c r="G11" s="4">
        <v>1400</v>
      </c>
      <c r="H11" s="4">
        <v>2800</v>
      </c>
      <c r="I11" s="4">
        <v>4200</v>
      </c>
      <c r="J11" s="4">
        <v>5600</v>
      </c>
      <c r="K11" s="4">
        <v>7000</v>
      </c>
      <c r="L11" s="4">
        <v>7000</v>
      </c>
      <c r="M11" s="4">
        <v>7000</v>
      </c>
      <c r="N11" s="4">
        <v>7000</v>
      </c>
      <c r="O11" s="4">
        <v>7000</v>
      </c>
      <c r="P11" s="4">
        <v>7000</v>
      </c>
      <c r="Q11" s="4">
        <v>7000</v>
      </c>
      <c r="R11" s="4">
        <v>7000</v>
      </c>
      <c r="S11" s="4">
        <v>7000</v>
      </c>
      <c r="T11" s="4">
        <v>7000</v>
      </c>
      <c r="U11" s="4">
        <v>7000</v>
      </c>
      <c r="V11" s="4">
        <v>7000</v>
      </c>
      <c r="W11" s="4">
        <v>7000</v>
      </c>
      <c r="X11" s="4">
        <v>7000</v>
      </c>
      <c r="Y11" s="4">
        <v>7000</v>
      </c>
      <c r="Z11" s="4">
        <v>7000</v>
      </c>
      <c r="AA11" s="4">
        <v>7000</v>
      </c>
      <c r="AB11" s="4">
        <v>7000</v>
      </c>
      <c r="AC11" s="4">
        <v>7000</v>
      </c>
    </row>
    <row r="12" spans="1:29" ht="24" customHeight="1" x14ac:dyDescent="0.3">
      <c r="A12" s="23" t="s">
        <v>9</v>
      </c>
      <c r="B12" s="4"/>
      <c r="C12" s="4"/>
      <c r="D12" s="4"/>
      <c r="E12" s="4"/>
      <c r="F12" s="4">
        <f>62+150+105</f>
        <v>317</v>
      </c>
      <c r="G12" s="4">
        <f>F12+149</f>
        <v>466</v>
      </c>
      <c r="H12" s="4">
        <f>G12+116</f>
        <v>582</v>
      </c>
      <c r="I12" s="4">
        <v>582</v>
      </c>
      <c r="J12" s="4">
        <v>582</v>
      </c>
      <c r="K12" s="4">
        <v>700</v>
      </c>
      <c r="L12" s="4">
        <v>700</v>
      </c>
      <c r="M12" s="4">
        <v>700</v>
      </c>
      <c r="N12" s="4">
        <v>800</v>
      </c>
      <c r="O12" s="4">
        <v>800</v>
      </c>
      <c r="P12" s="4">
        <v>800</v>
      </c>
      <c r="Q12" s="4">
        <v>900</v>
      </c>
      <c r="R12" s="4">
        <v>900</v>
      </c>
      <c r="S12" s="4">
        <v>900</v>
      </c>
      <c r="T12" s="4">
        <v>1000</v>
      </c>
      <c r="U12" s="4">
        <v>1000</v>
      </c>
      <c r="V12" s="4">
        <v>1000</v>
      </c>
      <c r="W12" s="4">
        <v>1100</v>
      </c>
      <c r="X12" s="4">
        <v>1100</v>
      </c>
      <c r="Y12" s="4">
        <v>1100</v>
      </c>
      <c r="Z12" s="4">
        <v>1200</v>
      </c>
      <c r="AA12" s="4">
        <v>1200</v>
      </c>
      <c r="AB12" s="4">
        <v>1200</v>
      </c>
      <c r="AC12" s="4">
        <v>1300</v>
      </c>
    </row>
    <row r="13" spans="1:29" ht="24" customHeight="1" x14ac:dyDescent="0.3">
      <c r="A13" s="23" t="s">
        <v>10</v>
      </c>
      <c r="B13" s="4"/>
      <c r="C13" s="4"/>
      <c r="D13" s="4"/>
      <c r="E13" s="4"/>
      <c r="F13" s="4"/>
      <c r="G13" s="4">
        <v>406</v>
      </c>
      <c r="H13" s="4">
        <v>406</v>
      </c>
      <c r="I13" s="4">
        <v>406</v>
      </c>
      <c r="J13" s="4">
        <v>406</v>
      </c>
      <c r="K13" s="4">
        <v>406</v>
      </c>
      <c r="L13" s="4">
        <v>406</v>
      </c>
      <c r="M13" s="4">
        <v>406</v>
      </c>
      <c r="N13" s="4">
        <v>406</v>
      </c>
      <c r="O13" s="4">
        <v>406</v>
      </c>
      <c r="P13" s="4">
        <v>406</v>
      </c>
      <c r="Q13" s="4">
        <v>406</v>
      </c>
      <c r="R13" s="4">
        <v>406</v>
      </c>
      <c r="S13" s="4">
        <v>406</v>
      </c>
      <c r="T13" s="4">
        <v>406</v>
      </c>
      <c r="U13" s="4">
        <v>406</v>
      </c>
      <c r="V13" s="4">
        <v>406</v>
      </c>
      <c r="W13" s="4">
        <v>406</v>
      </c>
      <c r="X13" s="4">
        <v>406</v>
      </c>
      <c r="Y13" s="4">
        <v>406</v>
      </c>
      <c r="Z13" s="4">
        <v>406</v>
      </c>
      <c r="AA13" s="4">
        <v>406</v>
      </c>
      <c r="AB13" s="4">
        <v>406</v>
      </c>
      <c r="AC13" s="4">
        <v>406</v>
      </c>
    </row>
    <row r="14" spans="1:29" ht="24" customHeight="1" x14ac:dyDescent="0.3">
      <c r="A14" s="23" t="s">
        <v>11</v>
      </c>
      <c r="B14" s="4">
        <f>B5-SUM(B10:B13)</f>
        <v>41</v>
      </c>
      <c r="C14" s="4">
        <f>C5-SUM(C10:C13)</f>
        <v>672.23619999999937</v>
      </c>
      <c r="D14" s="4">
        <f>D5-SUM(D10:D13)</f>
        <v>3763.2764000000025</v>
      </c>
      <c r="E14" s="4">
        <f>E5-SUM(E10:E13)</f>
        <v>3515.3166000000019</v>
      </c>
      <c r="F14" s="4">
        <f>F5-SUM(F10:F13)</f>
        <v>3940.3568000000014</v>
      </c>
      <c r="G14" s="4">
        <f>G5-SUM(G10:G13)</f>
        <v>2457.3970000000027</v>
      </c>
      <c r="H14" s="4">
        <f>H5-SUM(H10:H13)</f>
        <v>1843.4372000000021</v>
      </c>
      <c r="I14" s="4">
        <f>I5-SUM(I10:I13)</f>
        <v>1345.4774000000016</v>
      </c>
      <c r="J14" s="4">
        <f>J5-SUM(J10:J13)</f>
        <v>847.51760000000104</v>
      </c>
      <c r="K14" s="4">
        <f>K5-SUM(K10:K13)</f>
        <v>231.55780000000232</v>
      </c>
      <c r="L14" s="4">
        <f>L5-SUM(L10:L13)</f>
        <v>1154</v>
      </c>
      <c r="M14" s="4">
        <f>M5-SUM(M10:M13)</f>
        <v>2407.4529376003047</v>
      </c>
      <c r="N14" s="4">
        <f>N5-SUM(N10:N13)</f>
        <v>2511.1824630767296</v>
      </c>
      <c r="O14" s="4">
        <f>O5-SUM(O10:O13)</f>
        <v>2714.9119885531545</v>
      </c>
      <c r="P14" s="4">
        <f>P5-SUM(P10:P13)</f>
        <v>3226.9815377675786</v>
      </c>
      <c r="Q14" s="4">
        <f>Q5-SUM(Q10:Q13)</f>
        <v>3639.0510869820027</v>
      </c>
      <c r="R14" s="4">
        <f>R5-SUM(R10:R13)</f>
        <v>4151.120636196425</v>
      </c>
      <c r="S14" s="4">
        <f>S5-SUM(S10:S13)</f>
        <v>4663.1901854108473</v>
      </c>
      <c r="T14" s="4">
        <f>T5-SUM(T10:T13)</f>
        <v>5075.2597346252733</v>
      </c>
      <c r="U14" s="4">
        <f>U5-SUM(U10:U13)</f>
        <v>5587.3292838396992</v>
      </c>
      <c r="V14" s="4">
        <f>V5-SUM(V10:V13)</f>
        <v>6099.3988330541215</v>
      </c>
      <c r="W14" s="4">
        <f>W5-SUM(W10:W13)</f>
        <v>6554</v>
      </c>
      <c r="X14" s="4">
        <f>X5-SUM(X10:X13)</f>
        <v>6754</v>
      </c>
      <c r="Y14" s="4">
        <f>Y5-SUM(Y10:Y13)</f>
        <v>6954</v>
      </c>
      <c r="Z14" s="4">
        <f>Z5-SUM(Z10:Z13)</f>
        <v>7254</v>
      </c>
      <c r="AA14" s="4">
        <f>AA5-SUM(AA10:AA13)</f>
        <v>8054</v>
      </c>
      <c r="AB14" s="4">
        <f>AB5-SUM(AB10:AB13)</f>
        <v>8854</v>
      </c>
      <c r="AC14" s="4">
        <f>AC5-SUM(AC10:AC13)</f>
        <v>9554</v>
      </c>
    </row>
    <row r="15" spans="1:29" ht="24" customHeight="1" x14ac:dyDescent="0.3">
      <c r="A15" s="23" t="s">
        <v>34</v>
      </c>
      <c r="B15" s="14" t="s">
        <v>19</v>
      </c>
      <c r="C15" s="15"/>
      <c r="D15" s="15"/>
      <c r="E15" s="14" t="s">
        <v>20</v>
      </c>
      <c r="F15" s="14" t="s">
        <v>21</v>
      </c>
      <c r="G15" s="14" t="s">
        <v>22</v>
      </c>
      <c r="H15" s="14" t="s">
        <v>23</v>
      </c>
      <c r="I15" s="14" t="s">
        <v>24</v>
      </c>
      <c r="J15" s="14" t="s">
        <v>24</v>
      </c>
      <c r="K15" s="14" t="s">
        <v>24</v>
      </c>
      <c r="L15" s="14" t="s">
        <v>25</v>
      </c>
      <c r="M15" s="14" t="s">
        <v>25</v>
      </c>
      <c r="N15" s="14" t="s">
        <v>25</v>
      </c>
      <c r="O15" s="14" t="s">
        <v>25</v>
      </c>
      <c r="P15" s="14" t="s">
        <v>25</v>
      </c>
      <c r="Q15" s="14" t="s">
        <v>25</v>
      </c>
      <c r="R15" s="14" t="s">
        <v>25</v>
      </c>
      <c r="S15" s="14" t="s">
        <v>25</v>
      </c>
      <c r="T15" s="14" t="s">
        <v>25</v>
      </c>
      <c r="U15" s="14" t="s">
        <v>25</v>
      </c>
      <c r="V15" s="14" t="s">
        <v>25</v>
      </c>
      <c r="W15" s="14" t="s">
        <v>25</v>
      </c>
      <c r="X15" s="14" t="s">
        <v>25</v>
      </c>
      <c r="Y15" s="14" t="s">
        <v>25</v>
      </c>
      <c r="Z15" s="14" t="s">
        <v>25</v>
      </c>
      <c r="AA15" s="14" t="s">
        <v>25</v>
      </c>
      <c r="AB15" s="14" t="s">
        <v>25</v>
      </c>
      <c r="AC15" s="14" t="s">
        <v>25</v>
      </c>
    </row>
    <row r="16" spans="1:29" ht="24" customHeight="1" x14ac:dyDescent="0.3">
      <c r="A16" s="2" t="s">
        <v>12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24" customHeight="1" x14ac:dyDescent="0.3">
      <c r="A17" s="21" t="s">
        <v>0</v>
      </c>
      <c r="B17" s="3">
        <v>2023</v>
      </c>
      <c r="C17" s="3">
        <v>2024</v>
      </c>
      <c r="D17" s="3">
        <v>2025</v>
      </c>
      <c r="E17" s="3">
        <v>2026</v>
      </c>
      <c r="F17" s="3">
        <v>2027</v>
      </c>
      <c r="G17" s="3">
        <v>2028</v>
      </c>
      <c r="H17" s="3">
        <v>2029</v>
      </c>
      <c r="I17" s="3">
        <v>2030</v>
      </c>
      <c r="J17" s="3">
        <v>2031</v>
      </c>
      <c r="K17" s="3">
        <v>2032</v>
      </c>
      <c r="L17" s="3">
        <v>2033</v>
      </c>
      <c r="M17" s="3">
        <v>2034</v>
      </c>
      <c r="N17" s="3">
        <v>2035</v>
      </c>
      <c r="O17" s="3">
        <v>2036</v>
      </c>
      <c r="P17" s="3">
        <v>2037</v>
      </c>
      <c r="Q17" s="3">
        <v>2038</v>
      </c>
      <c r="R17" s="3">
        <v>2039</v>
      </c>
      <c r="S17" s="3">
        <v>2040</v>
      </c>
      <c r="T17" s="3">
        <v>2041</v>
      </c>
      <c r="U17" s="3">
        <v>2042</v>
      </c>
      <c r="V17" s="3">
        <v>2043</v>
      </c>
      <c r="W17" s="3">
        <v>2044</v>
      </c>
      <c r="X17" s="3">
        <v>2045</v>
      </c>
      <c r="Y17" s="3">
        <v>2046</v>
      </c>
      <c r="Z17" s="3">
        <v>2047</v>
      </c>
      <c r="AA17" s="3">
        <v>2048</v>
      </c>
      <c r="AB17" s="3">
        <v>2049</v>
      </c>
      <c r="AC17" s="3">
        <v>2050</v>
      </c>
    </row>
    <row r="18" spans="1:29" ht="24" customHeight="1" x14ac:dyDescent="0.3">
      <c r="A18" s="23" t="s">
        <v>13</v>
      </c>
      <c r="B18" s="4"/>
      <c r="C18" s="4"/>
      <c r="D18" s="4"/>
      <c r="E18" s="4">
        <v>-8</v>
      </c>
      <c r="F18" s="7">
        <f>-10+1.2</f>
        <v>-8.8000000000000007</v>
      </c>
      <c r="G18" s="7">
        <f>1.2+1.6</f>
        <v>2.8</v>
      </c>
      <c r="H18" s="7">
        <f t="shared" ref="H18:AC18" si="3">1.2+1.6</f>
        <v>2.8</v>
      </c>
      <c r="I18" s="7">
        <f t="shared" si="3"/>
        <v>2.8</v>
      </c>
      <c r="J18" s="7">
        <f t="shared" si="3"/>
        <v>2.8</v>
      </c>
      <c r="K18" s="7">
        <f t="shared" si="3"/>
        <v>2.8</v>
      </c>
      <c r="L18" s="7">
        <f t="shared" si="3"/>
        <v>2.8</v>
      </c>
      <c r="M18" s="7">
        <f t="shared" si="3"/>
        <v>2.8</v>
      </c>
      <c r="N18" s="7">
        <f t="shared" si="3"/>
        <v>2.8</v>
      </c>
      <c r="O18" s="7">
        <f t="shared" si="3"/>
        <v>2.8</v>
      </c>
      <c r="P18" s="7">
        <f t="shared" si="3"/>
        <v>2.8</v>
      </c>
      <c r="Q18" s="7">
        <f t="shared" si="3"/>
        <v>2.8</v>
      </c>
      <c r="R18" s="7">
        <f t="shared" si="3"/>
        <v>2.8</v>
      </c>
      <c r="S18" s="7">
        <f t="shared" si="3"/>
        <v>2.8</v>
      </c>
      <c r="T18" s="7">
        <f t="shared" si="3"/>
        <v>2.8</v>
      </c>
      <c r="U18" s="7">
        <f t="shared" si="3"/>
        <v>2.8</v>
      </c>
      <c r="V18" s="7">
        <f t="shared" si="3"/>
        <v>2.8</v>
      </c>
      <c r="W18" s="7">
        <f t="shared" si="3"/>
        <v>2.8</v>
      </c>
      <c r="X18" s="7">
        <f t="shared" si="3"/>
        <v>2.8</v>
      </c>
      <c r="Y18" s="7">
        <f t="shared" si="3"/>
        <v>2.8</v>
      </c>
      <c r="Z18" s="7">
        <f t="shared" si="3"/>
        <v>2.8</v>
      </c>
      <c r="AA18" s="7">
        <f t="shared" si="3"/>
        <v>2.8</v>
      </c>
      <c r="AB18" s="7">
        <f t="shared" si="3"/>
        <v>2.8</v>
      </c>
      <c r="AC18" s="7">
        <f t="shared" si="3"/>
        <v>2.8</v>
      </c>
    </row>
    <row r="19" spans="1:29" ht="24" customHeight="1" x14ac:dyDescent="0.3">
      <c r="A19" s="23" t="s">
        <v>14</v>
      </c>
      <c r="B19" s="8"/>
      <c r="C19" s="8"/>
      <c r="D19" s="8"/>
      <c r="E19" s="8"/>
      <c r="F19" s="8"/>
      <c r="G19" s="9">
        <f>G32/100000000</f>
        <v>4.32</v>
      </c>
      <c r="H19" s="9">
        <f>H32/100000000</f>
        <v>8.64</v>
      </c>
      <c r="I19" s="9">
        <f>I32/100000000</f>
        <v>12.96</v>
      </c>
      <c r="J19" s="9">
        <f>J32/100000000</f>
        <v>17.28</v>
      </c>
      <c r="K19" s="9">
        <f>K32/100000000</f>
        <v>21.6</v>
      </c>
      <c r="L19" s="9">
        <f>L32/100000000</f>
        <v>21.6</v>
      </c>
      <c r="M19" s="9">
        <f>M32/100000000</f>
        <v>21.6</v>
      </c>
      <c r="N19" s="9">
        <f>N32/100000000</f>
        <v>21.6</v>
      </c>
      <c r="O19" s="9">
        <f>O32/100000000</f>
        <v>21.6</v>
      </c>
      <c r="P19" s="9">
        <f>P32/100000000</f>
        <v>21.6</v>
      </c>
      <c r="Q19" s="9">
        <f>Q32/100000000</f>
        <v>21.6</v>
      </c>
      <c r="R19" s="9">
        <f>R32/100000000</f>
        <v>21.6</v>
      </c>
      <c r="S19" s="9">
        <f>S32/100000000</f>
        <v>21.6</v>
      </c>
      <c r="T19" s="9">
        <f>T32/100000000</f>
        <v>21.6</v>
      </c>
      <c r="U19" s="9">
        <f>U32/100000000</f>
        <v>21.6</v>
      </c>
      <c r="V19" s="9">
        <f>V32/100000000</f>
        <v>21.6</v>
      </c>
      <c r="W19" s="9">
        <f>W32/100000000</f>
        <v>21.6</v>
      </c>
      <c r="X19" s="9">
        <f>X32/100000000</f>
        <v>21.6</v>
      </c>
      <c r="Y19" s="9">
        <f>Y32/100000000</f>
        <v>21.6</v>
      </c>
      <c r="Z19" s="9">
        <f>Z32/100000000</f>
        <v>21.6</v>
      </c>
      <c r="AA19" s="9">
        <f>AA32/100000000</f>
        <v>21.6</v>
      </c>
      <c r="AB19" s="9">
        <f>AB32/100000000</f>
        <v>21.6</v>
      </c>
      <c r="AC19" s="9">
        <f>AC32/100000000</f>
        <v>21.6</v>
      </c>
    </row>
    <row r="20" spans="1:29" ht="24" customHeight="1" x14ac:dyDescent="0.3">
      <c r="A20" s="23" t="s">
        <v>9</v>
      </c>
      <c r="B20" s="8"/>
      <c r="C20" s="8"/>
      <c r="D20" s="8"/>
      <c r="E20" s="9">
        <v>-5.6</v>
      </c>
      <c r="F20" s="9">
        <v>-1</v>
      </c>
      <c r="G20" s="10">
        <v>-0.5</v>
      </c>
      <c r="H20" s="11"/>
      <c r="I20" s="11"/>
      <c r="J20" s="11">
        <v>-1</v>
      </c>
      <c r="K20" s="11"/>
      <c r="L20" s="11"/>
      <c r="M20" s="11">
        <v>-1</v>
      </c>
      <c r="N20" s="11"/>
      <c r="O20" s="11"/>
      <c r="P20" s="11">
        <v>-1</v>
      </c>
      <c r="Q20" s="11"/>
      <c r="R20" s="11"/>
      <c r="S20" s="11">
        <v>-1</v>
      </c>
      <c r="T20" s="11"/>
      <c r="U20" s="11"/>
      <c r="V20" s="11">
        <v>-1</v>
      </c>
      <c r="W20" s="11"/>
      <c r="X20" s="11"/>
      <c r="Y20" s="11">
        <v>-1</v>
      </c>
      <c r="Z20" s="11"/>
      <c r="AA20" s="11"/>
      <c r="AB20" s="11">
        <v>-1</v>
      </c>
      <c r="AC20" s="11"/>
    </row>
    <row r="21" spans="1:29" ht="24" customHeight="1" x14ac:dyDescent="0.3">
      <c r="A21" s="23" t="s">
        <v>15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24" customHeight="1" x14ac:dyDescent="0.3">
      <c r="A22" s="23" t="s">
        <v>16</v>
      </c>
      <c r="B22" s="12"/>
      <c r="C22" s="9"/>
      <c r="D22" s="9"/>
      <c r="E22" s="9"/>
      <c r="F22" s="9">
        <f>-F35/100000000</f>
        <v>-6.129443911111113</v>
      </c>
      <c r="G22" s="9">
        <f>-G35/100000000</f>
        <v>-3.8226175555555595</v>
      </c>
      <c r="H22" s="9">
        <f>-H35/100000000</f>
        <v>-2.8675689777777813</v>
      </c>
      <c r="I22" s="9">
        <f>-I35/100000000</f>
        <v>-2.0929648444444471</v>
      </c>
      <c r="J22" s="9">
        <f>-J35/100000000</f>
        <v>-1.3183607111111126</v>
      </c>
      <c r="K22" s="9">
        <f>-K35/100000000</f>
        <v>-0.36020102222222583</v>
      </c>
      <c r="L22" s="9">
        <f>-L35/100000000</f>
        <v>-1.7951111111111111</v>
      </c>
      <c r="M22" s="9">
        <f>-M35/100000000</f>
        <v>-3.7449267918226963</v>
      </c>
      <c r="N22" s="9">
        <f>-N35/100000000</f>
        <v>-3.9062838314526904</v>
      </c>
      <c r="O22" s="9">
        <f>-O35/100000000</f>
        <v>-4.22319642663824</v>
      </c>
      <c r="P22" s="9">
        <f>-P35/100000000</f>
        <v>-5.019749058749567</v>
      </c>
      <c r="Q22" s="9">
        <f>-Q35/100000000</f>
        <v>-5.6607461353053363</v>
      </c>
      <c r="R22" s="9">
        <f>-R35/100000000</f>
        <v>-6.4572987674166606</v>
      </c>
      <c r="S22" s="9">
        <f>-S35/100000000</f>
        <v>-7.2538513995279841</v>
      </c>
      <c r="T22" s="9">
        <f>-T35/100000000</f>
        <v>-7.8948484760837578</v>
      </c>
      <c r="U22" s="9">
        <f>-U35/100000000</f>
        <v>-8.6914011081950875</v>
      </c>
      <c r="V22" s="9">
        <f>-V35/100000000</f>
        <v>-9.4879537403064109</v>
      </c>
      <c r="W22" s="9">
        <f>-W35/100000000</f>
        <v>-10.19511111111111</v>
      </c>
      <c r="X22" s="9">
        <f>-X35/100000000</f>
        <v>-10.506222222222222</v>
      </c>
      <c r="Y22" s="9">
        <f>-Y35/100000000</f>
        <v>-10.817333333333332</v>
      </c>
      <c r="Z22" s="9">
        <f>-Z35/100000000</f>
        <v>-11.284000000000001</v>
      </c>
      <c r="AA22" s="9">
        <f>-AA35/100000000</f>
        <v>-12.528444444444444</v>
      </c>
      <c r="AB22" s="9">
        <f>-AB35/100000000</f>
        <v>-13.772888888888888</v>
      </c>
      <c r="AC22" s="9">
        <f>-AC35/100000000</f>
        <v>-14.861777777777776</v>
      </c>
    </row>
    <row r="23" spans="1:29" ht="24" customHeight="1" x14ac:dyDescent="0.3">
      <c r="A23" s="23" t="s">
        <v>26</v>
      </c>
      <c r="B23" s="15"/>
      <c r="C23" s="15"/>
      <c r="D23" s="15"/>
      <c r="E23" s="14" t="s">
        <v>27</v>
      </c>
      <c r="F23" s="14" t="s">
        <v>28</v>
      </c>
      <c r="G23" s="14" t="s">
        <v>29</v>
      </c>
      <c r="H23" s="14" t="s">
        <v>29</v>
      </c>
      <c r="I23" s="14" t="s">
        <v>29</v>
      </c>
      <c r="J23" s="14" t="s">
        <v>29</v>
      </c>
      <c r="K23" s="14" t="s">
        <v>29</v>
      </c>
      <c r="L23" s="14" t="s">
        <v>30</v>
      </c>
      <c r="M23" s="14" t="s">
        <v>30</v>
      </c>
      <c r="N23" s="14" t="s">
        <v>30</v>
      </c>
      <c r="O23" s="14" t="s">
        <v>30</v>
      </c>
      <c r="P23" s="14" t="s">
        <v>30</v>
      </c>
      <c r="Q23" s="14" t="s">
        <v>30</v>
      </c>
      <c r="R23" s="14" t="s">
        <v>30</v>
      </c>
      <c r="S23" s="14" t="s">
        <v>30</v>
      </c>
      <c r="T23" s="14" t="s">
        <v>30</v>
      </c>
      <c r="U23" s="14" t="s">
        <v>30</v>
      </c>
      <c r="V23" s="14" t="s">
        <v>30</v>
      </c>
      <c r="W23" s="14" t="s">
        <v>30</v>
      </c>
      <c r="X23" s="14" t="s">
        <v>30</v>
      </c>
      <c r="Y23" s="14" t="s">
        <v>30</v>
      </c>
      <c r="Z23" s="14" t="s">
        <v>30</v>
      </c>
      <c r="AA23" s="14" t="s">
        <v>30</v>
      </c>
      <c r="AB23" s="14" t="s">
        <v>30</v>
      </c>
      <c r="AC23" s="14" t="s">
        <v>30</v>
      </c>
    </row>
    <row r="24" spans="1:29" ht="24" hidden="1" customHeight="1" x14ac:dyDescent="0.3">
      <c r="A24" s="2" t="s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24" hidden="1" customHeight="1" x14ac:dyDescent="0.3">
      <c r="A25" s="21" t="s">
        <v>0</v>
      </c>
      <c r="B25" s="3">
        <v>2023</v>
      </c>
      <c r="C25" s="3">
        <v>2024</v>
      </c>
      <c r="D25" s="3">
        <v>2025</v>
      </c>
      <c r="E25" s="3">
        <v>2026</v>
      </c>
      <c r="F25" s="3">
        <v>2027</v>
      </c>
      <c r="G25" s="3">
        <v>2028</v>
      </c>
      <c r="H25" s="3">
        <v>2029</v>
      </c>
      <c r="I25" s="3">
        <v>2030</v>
      </c>
      <c r="J25" s="3">
        <v>2031</v>
      </c>
      <c r="K25" s="3">
        <v>2032</v>
      </c>
      <c r="L25" s="3">
        <v>2033</v>
      </c>
      <c r="M25" s="3">
        <v>2034</v>
      </c>
      <c r="N25" s="3">
        <v>2035</v>
      </c>
      <c r="O25" s="3">
        <v>2036</v>
      </c>
      <c r="P25" s="3">
        <v>2037</v>
      </c>
      <c r="Q25" s="3">
        <v>2038</v>
      </c>
      <c r="R25" s="3">
        <v>2039</v>
      </c>
      <c r="S25" s="3">
        <v>2040</v>
      </c>
      <c r="T25" s="3">
        <v>2041</v>
      </c>
      <c r="U25" s="3">
        <v>2042</v>
      </c>
      <c r="V25" s="3">
        <v>2043</v>
      </c>
      <c r="W25" s="3">
        <v>2044</v>
      </c>
      <c r="X25" s="3">
        <v>2045</v>
      </c>
      <c r="Y25" s="3">
        <v>2046</v>
      </c>
      <c r="Z25" s="3">
        <v>2047</v>
      </c>
      <c r="AA25" s="3">
        <v>2048</v>
      </c>
      <c r="AB25" s="3">
        <v>2049</v>
      </c>
      <c r="AC25" s="3">
        <v>2050</v>
      </c>
    </row>
    <row r="26" spans="1:29" ht="89.25" hidden="1" customHeight="1" x14ac:dyDescent="0.3">
      <c r="A26" s="23" t="s">
        <v>18</v>
      </c>
      <c r="B26" s="14" t="s">
        <v>19</v>
      </c>
      <c r="C26" s="15"/>
      <c r="D26" s="15"/>
      <c r="E26" s="14" t="s">
        <v>20</v>
      </c>
      <c r="F26" s="14" t="s">
        <v>21</v>
      </c>
      <c r="G26" s="14" t="s">
        <v>22</v>
      </c>
      <c r="H26" s="14" t="s">
        <v>23</v>
      </c>
      <c r="I26" s="14" t="s">
        <v>24</v>
      </c>
      <c r="J26" s="14" t="s">
        <v>24</v>
      </c>
      <c r="K26" s="14" t="s">
        <v>24</v>
      </c>
      <c r="L26" s="14" t="s">
        <v>25</v>
      </c>
      <c r="M26" s="14" t="s">
        <v>25</v>
      </c>
      <c r="N26" s="14" t="s">
        <v>25</v>
      </c>
      <c r="O26" s="14" t="s">
        <v>25</v>
      </c>
      <c r="P26" s="14" t="s">
        <v>25</v>
      </c>
      <c r="Q26" s="14" t="s">
        <v>25</v>
      </c>
      <c r="R26" s="14" t="s">
        <v>25</v>
      </c>
      <c r="S26" s="14" t="s">
        <v>25</v>
      </c>
      <c r="T26" s="14" t="s">
        <v>25</v>
      </c>
      <c r="U26" s="14" t="s">
        <v>25</v>
      </c>
      <c r="V26" s="14" t="s">
        <v>25</v>
      </c>
      <c r="W26" s="14" t="s">
        <v>25</v>
      </c>
      <c r="X26" s="14" t="s">
        <v>25</v>
      </c>
      <c r="Y26" s="14" t="s">
        <v>25</v>
      </c>
      <c r="Z26" s="14" t="s">
        <v>25</v>
      </c>
      <c r="AA26" s="14" t="s">
        <v>25</v>
      </c>
      <c r="AB26" s="14" t="s">
        <v>25</v>
      </c>
      <c r="AC26" s="14" t="s">
        <v>25</v>
      </c>
    </row>
    <row r="27" spans="1:29" ht="89.25" hidden="1" customHeight="1" x14ac:dyDescent="0.3">
      <c r="A27" s="23" t="s">
        <v>26</v>
      </c>
      <c r="B27" s="15"/>
      <c r="C27" s="15"/>
      <c r="D27" s="15"/>
      <c r="E27" s="14" t="s">
        <v>27</v>
      </c>
      <c r="F27" s="14" t="s">
        <v>28</v>
      </c>
      <c r="G27" s="14" t="s">
        <v>29</v>
      </c>
      <c r="H27" s="14" t="s">
        <v>29</v>
      </c>
      <c r="I27" s="14" t="s">
        <v>29</v>
      </c>
      <c r="J27" s="14" t="s">
        <v>29</v>
      </c>
      <c r="K27" s="14" t="s">
        <v>29</v>
      </c>
      <c r="L27" s="14" t="s">
        <v>30</v>
      </c>
      <c r="M27" s="14" t="s">
        <v>30</v>
      </c>
      <c r="N27" s="14" t="s">
        <v>30</v>
      </c>
      <c r="O27" s="14" t="s">
        <v>30</v>
      </c>
      <c r="P27" s="14" t="s">
        <v>30</v>
      </c>
      <c r="Q27" s="14" t="s">
        <v>30</v>
      </c>
      <c r="R27" s="14" t="s">
        <v>30</v>
      </c>
      <c r="S27" s="14" t="s">
        <v>30</v>
      </c>
      <c r="T27" s="14" t="s">
        <v>30</v>
      </c>
      <c r="U27" s="14" t="s">
        <v>30</v>
      </c>
      <c r="V27" s="14" t="s">
        <v>30</v>
      </c>
      <c r="W27" s="14" t="s">
        <v>30</v>
      </c>
      <c r="X27" s="14" t="s">
        <v>30</v>
      </c>
      <c r="Y27" s="14" t="s">
        <v>30</v>
      </c>
      <c r="Z27" s="14" t="s">
        <v>30</v>
      </c>
      <c r="AA27" s="14" t="s">
        <v>30</v>
      </c>
      <c r="AB27" s="14" t="s">
        <v>30</v>
      </c>
      <c r="AC27" s="14" t="s">
        <v>30</v>
      </c>
    </row>
    <row r="28" spans="1:29" ht="24" hidden="1" customHeight="1" x14ac:dyDescent="0.3">
      <c r="A28" s="5"/>
      <c r="B28" s="16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24" hidden="1" customHeight="1" x14ac:dyDescent="0.3">
      <c r="A29" s="5"/>
      <c r="B29" s="16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24" hidden="1" customHeight="1" x14ac:dyDescent="0.3">
      <c r="A30" s="5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1:29" ht="24" hidden="1" customHeight="1" x14ac:dyDescent="0.3">
      <c r="A31" s="22"/>
      <c r="B31" s="3">
        <v>2023</v>
      </c>
      <c r="C31" s="3">
        <v>2024</v>
      </c>
      <c r="D31" s="3">
        <v>2025</v>
      </c>
      <c r="E31" s="3">
        <v>2026</v>
      </c>
      <c r="F31" s="3">
        <v>2027</v>
      </c>
      <c r="G31" s="3">
        <v>2028</v>
      </c>
      <c r="H31" s="3">
        <v>2029</v>
      </c>
      <c r="I31" s="3">
        <v>2030</v>
      </c>
      <c r="J31" s="3">
        <v>2031</v>
      </c>
      <c r="K31" s="3">
        <v>2032</v>
      </c>
      <c r="L31" s="3">
        <v>2033</v>
      </c>
      <c r="M31" s="3">
        <v>2034</v>
      </c>
      <c r="N31" s="3">
        <v>2035</v>
      </c>
      <c r="O31" s="3">
        <v>2036</v>
      </c>
      <c r="P31" s="3">
        <v>2037</v>
      </c>
      <c r="Q31" s="3">
        <v>2038</v>
      </c>
      <c r="R31" s="3">
        <v>2039</v>
      </c>
      <c r="S31" s="3">
        <v>2040</v>
      </c>
      <c r="T31" s="3">
        <v>2041</v>
      </c>
      <c r="U31" s="3">
        <v>2042</v>
      </c>
      <c r="V31" s="3">
        <v>2043</v>
      </c>
      <c r="W31" s="3">
        <v>2044</v>
      </c>
      <c r="X31" s="3">
        <v>2045</v>
      </c>
      <c r="Y31" s="3">
        <v>2046</v>
      </c>
      <c r="Z31" s="3">
        <v>2047</v>
      </c>
      <c r="AA31" s="3">
        <v>2048</v>
      </c>
      <c r="AB31" s="3">
        <v>2049</v>
      </c>
      <c r="AC31" s="3">
        <v>2050</v>
      </c>
    </row>
    <row r="32" spans="1:29" ht="24" hidden="1" customHeight="1" x14ac:dyDescent="0.3">
      <c r="A32" s="24"/>
      <c r="B32" s="8"/>
      <c r="C32" s="8"/>
      <c r="D32" s="8"/>
      <c r="E32" s="8"/>
      <c r="F32" s="8"/>
      <c r="G32" s="8">
        <f>1500000*288</f>
        <v>432000000</v>
      </c>
      <c r="H32" s="8">
        <f>1500000*288*2</f>
        <v>864000000</v>
      </c>
      <c r="I32" s="8">
        <f>1500000*288*3</f>
        <v>1296000000</v>
      </c>
      <c r="J32" s="8">
        <f>1500000*288*4</f>
        <v>1728000000</v>
      </c>
      <c r="K32" s="8">
        <f>1500000*288*5</f>
        <v>2160000000</v>
      </c>
      <c r="L32" s="8">
        <f>1500000*288*5</f>
        <v>2160000000</v>
      </c>
      <c r="M32" s="8">
        <f t="shared" ref="M32:AC32" si="4">1500000*288*5</f>
        <v>2160000000</v>
      </c>
      <c r="N32" s="8">
        <f t="shared" si="4"/>
        <v>2160000000</v>
      </c>
      <c r="O32" s="8">
        <f t="shared" si="4"/>
        <v>2160000000</v>
      </c>
      <c r="P32" s="8">
        <f t="shared" si="4"/>
        <v>2160000000</v>
      </c>
      <c r="Q32" s="8">
        <f t="shared" si="4"/>
        <v>2160000000</v>
      </c>
      <c r="R32" s="8">
        <f t="shared" si="4"/>
        <v>2160000000</v>
      </c>
      <c r="S32" s="8">
        <f t="shared" si="4"/>
        <v>2160000000</v>
      </c>
      <c r="T32" s="8">
        <f t="shared" si="4"/>
        <v>2160000000</v>
      </c>
      <c r="U32" s="8">
        <f t="shared" si="4"/>
        <v>2160000000</v>
      </c>
      <c r="V32" s="8">
        <f t="shared" si="4"/>
        <v>2160000000</v>
      </c>
      <c r="W32" s="8">
        <f t="shared" si="4"/>
        <v>2160000000</v>
      </c>
      <c r="X32" s="8">
        <f t="shared" si="4"/>
        <v>2160000000</v>
      </c>
      <c r="Y32" s="8">
        <f t="shared" si="4"/>
        <v>2160000000</v>
      </c>
      <c r="Z32" s="8">
        <f t="shared" si="4"/>
        <v>2160000000</v>
      </c>
      <c r="AA32" s="8">
        <f t="shared" si="4"/>
        <v>2160000000</v>
      </c>
      <c r="AB32" s="8">
        <f t="shared" si="4"/>
        <v>2160000000</v>
      </c>
      <c r="AC32" s="8">
        <f t="shared" si="4"/>
        <v>2160000000</v>
      </c>
    </row>
    <row r="33" spans="1:29" ht="24" hidden="1" customHeight="1" x14ac:dyDescent="0.3">
      <c r="A33" s="24"/>
      <c r="B33" s="4">
        <f>B14</f>
        <v>41</v>
      </c>
      <c r="C33" s="4">
        <f>C14</f>
        <v>672.23619999999937</v>
      </c>
      <c r="D33" s="4">
        <f>D14</f>
        <v>3763.2764000000025</v>
      </c>
      <c r="E33" s="4">
        <f>E14</f>
        <v>3515.3166000000019</v>
      </c>
      <c r="F33" s="4">
        <f>F14</f>
        <v>3940.3568000000014</v>
      </c>
      <c r="G33" s="4">
        <f>G14</f>
        <v>2457.3970000000027</v>
      </c>
      <c r="H33" s="4">
        <f>H14</f>
        <v>1843.4372000000021</v>
      </c>
      <c r="I33" s="4">
        <f>I14</f>
        <v>1345.4774000000016</v>
      </c>
      <c r="J33" s="4">
        <f>J14</f>
        <v>847.51760000000104</v>
      </c>
      <c r="K33" s="4">
        <f>K14</f>
        <v>231.55780000000232</v>
      </c>
      <c r="L33" s="4">
        <f>L14</f>
        <v>1154</v>
      </c>
      <c r="M33" s="4">
        <f>M14</f>
        <v>2407.4529376003047</v>
      </c>
      <c r="N33" s="4">
        <f>N14</f>
        <v>2511.1824630767296</v>
      </c>
      <c r="O33" s="4">
        <f>O14</f>
        <v>2714.9119885531545</v>
      </c>
      <c r="P33" s="4">
        <f>P14</f>
        <v>3226.9815377675786</v>
      </c>
      <c r="Q33" s="4">
        <f>Q14</f>
        <v>3639.0510869820027</v>
      </c>
      <c r="R33" s="4">
        <f>R14</f>
        <v>4151.120636196425</v>
      </c>
      <c r="S33" s="4">
        <f>S14</f>
        <v>4663.1901854108473</v>
      </c>
      <c r="T33" s="4">
        <f>T14</f>
        <v>5075.2597346252733</v>
      </c>
      <c r="U33" s="4">
        <f>U14</f>
        <v>5587.3292838396992</v>
      </c>
      <c r="V33" s="4">
        <f>V14</f>
        <v>6099.3988330541215</v>
      </c>
      <c r="W33" s="4">
        <f>W14</f>
        <v>6554</v>
      </c>
      <c r="X33" s="4">
        <f>X14</f>
        <v>6754</v>
      </c>
      <c r="Y33" s="4">
        <f>Y14</f>
        <v>6954</v>
      </c>
      <c r="Z33" s="4">
        <f>Z14</f>
        <v>7254</v>
      </c>
      <c r="AA33" s="4">
        <f>AA14</f>
        <v>8054</v>
      </c>
      <c r="AB33" s="4">
        <f>AB14</f>
        <v>8854</v>
      </c>
      <c r="AC33" s="4">
        <f>AC14</f>
        <v>9554</v>
      </c>
    </row>
    <row r="34" spans="1:29" ht="24" hidden="1" customHeight="1" x14ac:dyDescent="0.3">
      <c r="A34" s="24"/>
      <c r="B34" s="19">
        <f>B33/0.45</f>
        <v>91.111111111111114</v>
      </c>
      <c r="C34" s="19">
        <f>C33/0.45</f>
        <v>1493.8582222222208</v>
      </c>
      <c r="D34" s="19">
        <f t="shared" ref="D34:AC34" si="5">D33/0.45</f>
        <v>8362.8364444444505</v>
      </c>
      <c r="E34" s="19">
        <f t="shared" si="5"/>
        <v>7811.8146666666707</v>
      </c>
      <c r="F34" s="19">
        <f t="shared" si="5"/>
        <v>8756.3484444444475</v>
      </c>
      <c r="G34" s="19">
        <f t="shared" si="5"/>
        <v>5460.8822222222279</v>
      </c>
      <c r="H34" s="19">
        <f t="shared" si="5"/>
        <v>4096.527111111116</v>
      </c>
      <c r="I34" s="19">
        <f t="shared" si="5"/>
        <v>2989.949777777781</v>
      </c>
      <c r="J34" s="19">
        <f t="shared" si="5"/>
        <v>1883.3724444444467</v>
      </c>
      <c r="K34" s="19">
        <f t="shared" si="5"/>
        <v>514.572888888894</v>
      </c>
      <c r="L34" s="19">
        <f t="shared" si="5"/>
        <v>2564.4444444444443</v>
      </c>
      <c r="M34" s="19">
        <f t="shared" si="5"/>
        <v>5349.8954168895661</v>
      </c>
      <c r="N34" s="19">
        <f t="shared" si="5"/>
        <v>5580.4054735038435</v>
      </c>
      <c r="O34" s="19">
        <f t="shared" si="5"/>
        <v>6033.1377523403435</v>
      </c>
      <c r="P34" s="19">
        <f t="shared" si="5"/>
        <v>7171.0700839279525</v>
      </c>
      <c r="Q34" s="19">
        <f t="shared" si="5"/>
        <v>8086.7801932933389</v>
      </c>
      <c r="R34" s="19">
        <f t="shared" si="5"/>
        <v>9224.7125248809443</v>
      </c>
      <c r="S34" s="19">
        <f t="shared" si="5"/>
        <v>10362.644856468549</v>
      </c>
      <c r="T34" s="19">
        <f t="shared" si="5"/>
        <v>11278.35496583394</v>
      </c>
      <c r="U34" s="19">
        <f t="shared" si="5"/>
        <v>12416.287297421553</v>
      </c>
      <c r="V34" s="19">
        <f t="shared" si="5"/>
        <v>13554.219629009158</v>
      </c>
      <c r="W34" s="19">
        <f t="shared" si="5"/>
        <v>14564.444444444443</v>
      </c>
      <c r="X34" s="19">
        <f t="shared" si="5"/>
        <v>15008.888888888889</v>
      </c>
      <c r="Y34" s="19">
        <f t="shared" si="5"/>
        <v>15453.333333333332</v>
      </c>
      <c r="Z34" s="19">
        <f t="shared" si="5"/>
        <v>16120</v>
      </c>
      <c r="AA34" s="19">
        <f t="shared" si="5"/>
        <v>17897.777777777777</v>
      </c>
      <c r="AB34" s="19">
        <f t="shared" si="5"/>
        <v>19675.555555555555</v>
      </c>
      <c r="AC34" s="19">
        <f t="shared" si="5"/>
        <v>21231.111111111109</v>
      </c>
    </row>
    <row r="35" spans="1:29" ht="24" hidden="1" customHeight="1" x14ac:dyDescent="0.3">
      <c r="A35" s="24"/>
      <c r="B35" s="19">
        <f>B34*70000</f>
        <v>6377777.777777778</v>
      </c>
      <c r="C35" s="19">
        <f t="shared" ref="C35:AC35" si="6">C34*70000</f>
        <v>104570075.55555545</v>
      </c>
      <c r="D35" s="19">
        <f t="shared" si="6"/>
        <v>585398551.11111152</v>
      </c>
      <c r="E35" s="19">
        <f t="shared" si="6"/>
        <v>546827026.66666698</v>
      </c>
      <c r="F35" s="19">
        <f t="shared" si="6"/>
        <v>612944391.11111128</v>
      </c>
      <c r="G35" s="19">
        <f t="shared" si="6"/>
        <v>382261755.55555594</v>
      </c>
      <c r="H35" s="19">
        <f t="shared" si="6"/>
        <v>286756897.77777815</v>
      </c>
      <c r="I35" s="19">
        <f t="shared" si="6"/>
        <v>209296484.44444469</v>
      </c>
      <c r="J35" s="19">
        <f t="shared" si="6"/>
        <v>131836071.11111127</v>
      </c>
      <c r="K35" s="19">
        <f t="shared" si="6"/>
        <v>36020102.222222582</v>
      </c>
      <c r="L35" s="19">
        <f t="shared" si="6"/>
        <v>179511111.1111111</v>
      </c>
      <c r="M35" s="19">
        <f t="shared" si="6"/>
        <v>374492679.18226963</v>
      </c>
      <c r="N35" s="19">
        <f t="shared" si="6"/>
        <v>390628383.14526904</v>
      </c>
      <c r="O35" s="19">
        <f t="shared" si="6"/>
        <v>422319642.66382402</v>
      </c>
      <c r="P35" s="19">
        <f t="shared" si="6"/>
        <v>501974905.87495667</v>
      </c>
      <c r="Q35" s="19">
        <f t="shared" si="6"/>
        <v>566074613.53053367</v>
      </c>
      <c r="R35" s="19">
        <f t="shared" si="6"/>
        <v>645729876.74166608</v>
      </c>
      <c r="S35" s="19">
        <f t="shared" si="6"/>
        <v>725385139.95279837</v>
      </c>
      <c r="T35" s="19">
        <f t="shared" si="6"/>
        <v>789484847.60837579</v>
      </c>
      <c r="U35" s="19">
        <f t="shared" si="6"/>
        <v>869140110.81950879</v>
      </c>
      <c r="V35" s="19">
        <f t="shared" si="6"/>
        <v>948795374.03064108</v>
      </c>
      <c r="W35" s="19">
        <f t="shared" si="6"/>
        <v>1019511111.111111</v>
      </c>
      <c r="X35" s="19">
        <f t="shared" si="6"/>
        <v>1050622222.2222222</v>
      </c>
      <c r="Y35" s="19">
        <f t="shared" si="6"/>
        <v>1081733333.3333333</v>
      </c>
      <c r="Z35" s="19">
        <f t="shared" si="6"/>
        <v>1128400000</v>
      </c>
      <c r="AA35" s="19">
        <f t="shared" si="6"/>
        <v>1252844444.4444444</v>
      </c>
      <c r="AB35" s="19">
        <f t="shared" si="6"/>
        <v>1377288888.8888888</v>
      </c>
      <c r="AC35" s="19">
        <f t="shared" si="6"/>
        <v>1486177777.7777777</v>
      </c>
    </row>
    <row r="36" spans="1:29" hidden="1" x14ac:dyDescent="0.3"/>
    <row r="37" spans="1:29" hidden="1" x14ac:dyDescent="0.3"/>
    <row r="38" spans="1:29" hidden="1" x14ac:dyDescent="0.3"/>
    <row r="39" spans="1:29" ht="20.25" x14ac:dyDescent="0.3">
      <c r="A39" s="2" t="s">
        <v>35</v>
      </c>
    </row>
    <row r="40" spans="1:29" ht="114" customHeight="1" x14ac:dyDescent="0.3">
      <c r="A40" s="25" t="s">
        <v>31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</row>
    <row r="41" spans="1:29" ht="20.25" x14ac:dyDescent="0.3">
      <c r="A41" s="2" t="s">
        <v>36</v>
      </c>
      <c r="B41" s="20"/>
    </row>
    <row r="42" spans="1:29" ht="171" customHeight="1" x14ac:dyDescent="0.3">
      <c r="A42" s="25" t="s">
        <v>32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</row>
  </sheetData>
  <phoneticPr fontId="2" type="noConversion"/>
  <pageMargins left="0.7" right="0.7" top="0.75" bottom="0.75" header="0.3" footer="0.3"/>
  <ignoredErrors>
    <ignoredError sqref="B6:AC18 B23:AC23 B19:F21 B22:E22" formulaRange="1"/>
    <ignoredError sqref="G19:AC22 F22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넷제로 프로그램용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마승완[ESG팀/팀원]</dc:creator>
  <cp:lastModifiedBy>마승완[ESG팀/팀원]</cp:lastModifiedBy>
  <dcterms:created xsi:type="dcterms:W3CDTF">2026-02-10T08:28:41Z</dcterms:created>
  <dcterms:modified xsi:type="dcterms:W3CDTF">2026-02-11T01:28:33Z</dcterms:modified>
</cp:coreProperties>
</file>